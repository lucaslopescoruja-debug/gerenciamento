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A9F9CF-CD52-4935-A818-4AADD1A2A9AE}" xr6:coauthVersionLast="36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Planilha1" sheetId="1" r:id="rId1"/>
    <sheet name="Sheet1" sheetId="2" r:id="rId2"/>
  </sheets>
  <calcPr calcId="191029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<sst xmlns="http://schemas.openxmlformats.org/spreadsheetml/2006/main" count="206" uniqueCount="206">
  <si>
    <t>Produtos/Serviços</t>
  </si>
  <si>
    <t>Vl total</t>
  </si>
  <si>
    <t>IPI</t>
  </si>
  <si>
    <t>ICMS</t>
  </si>
  <si>
    <t>Vl un</t>
  </si>
  <si>
    <t>Quantidade</t>
  </si>
  <si>
    <t>Entrega</t>
  </si>
  <si>
    <t>NCM</t>
  </si>
  <si>
    <t>#</t>
  </si>
  <si>
    <t>Código</t>
  </si>
  <si>
    <t>Item</t>
  </si>
  <si>
    <t>Totais</t>
  </si>
  <si>
    <t>Valor</t>
  </si>
  <si>
    <t>Base de cálculo</t>
  </si>
  <si>
    <t>Imposto</t>
  </si>
  <si>
    <t>Cobrança</t>
  </si>
  <si>
    <t>Transporte</t>
  </si>
  <si>
    <t>Observações</t>
  </si>
  <si>
    <t>Valor com IPI</t>
  </si>
  <si>
    <t>[[LogotipoDaMinhaEmpresa]]</t>
  </si>
  <si>
    <t>[[DataDeHoje.Data]]
[[DataDeHoje.HoraMinuto]]</t>
  </si>
  <si>
    <t>Atenciosamente,</t>
  </si>
  <si>
    <t>Emissão [[PedidoVenda.DataEmissao.Data]]</t>
  </si>
  <si>
    <t>À [[PedidoVenda.Cliente.Apelido]]  ([[PedidoVenda.Cliente.RazaoSocial]]) – [[PedidoVenda.Cliente.CNPJ]]</t>
  </si>
  <si>
    <t>[[PedidoVenda.Cliente.Endereco.Completo]]</t>
  </si>
  <si>
    <t>A/C Sr(a) [[PedidoVenda.ContatoComercial.Nome]]</t>
  </si>
  <si>
    <t>Telefone: [[PedidoVenda.ContatoComercial.Telefone]] [[PedidoVenda.ContatoComercial.Celular]]</t>
  </si>
  <si>
    <t>E-mail: [[PedidoVenda.ContatoComercial.Email]]</t>
  </si>
  <si>
    <t>Natureza da operação: [[PedidoVenda.OperacaoFiscal]]</t>
  </si>
  <si>
    <t>Moeda: [[PedidoVenda.Moeda]]</t>
  </si>
  <si>
    <t>Representante: [[PedidoVenda.Representante1.Apelido]]</t>
  </si>
  <si>
    <t>[[PedidoVenda.ItemPedidoVenda.Posicao]]</t>
  </si>
  <si>
    <t>[[PedidoVenda.ItemPedidoVenda.CadastroDoItem.Codigo]]</t>
  </si>
  <si>
    <t>[[PedidoVenda.ItemPedidoVenda.Descricao]]</t>
  </si>
  <si>
    <t>[[PedidoVenda.ItemPedidoVenda.NCM.Codigo]]</t>
  </si>
  <si>
    <t>[[PedidoVenda.ItemPedidoVenda.Quantidade]]  [[PedidoVenda.ItemPedidoVenda.UnidadeMedida]]</t>
  </si>
  <si>
    <t>R$ [[PedidoVenda.ItemPedidoVenda.ValorUnitario]]</t>
  </si>
  <si>
    <t>[[PedidoVenda.ItemPedidoVenda.ICMS.Aliquota]]%</t>
  </si>
  <si>
    <t>[[PedidoVenda.ItemPedidoVenda.IPI.Aliquota]]%</t>
  </si>
  <si>
    <t>R$ [[PedidoVenda.ItemPedidoVenda.ValorTotal]]</t>
  </si>
  <si>
    <t>[[PedidoVenda.ItemPedidoVenda.ValorTotal]]</t>
  </si>
  <si>
    <t>[[PedidoVenda.ItemPedidoVenda.IPI.Valor]]</t>
  </si>
  <si>
    <t>[[PedidoVenda.ItemPedidoVenda.CadastroDoItem.DescricaoComplementar]:collapse]</t>
  </si>
  <si>
    <t>Valor total dos produtos  [[PedidoVenda.ValorTotalProdutosServicos]]</t>
  </si>
  <si>
    <t>Frete  [[PedidoVenda.ValorFrete]]</t>
  </si>
  <si>
    <t>Seguro  [[PedidoVenda.ValorSeguro]]</t>
  </si>
  <si>
    <t>Outras despesas  [[PedidoVenda.ValorOutrasDespesas]]</t>
  </si>
  <si>
    <t>Desconto  [[PedidoVenda.ValorDesconto]]</t>
  </si>
  <si>
    <t>Valor total  [[PedidoVenda.ValorTotal]]</t>
  </si>
  <si>
    <t>Forma de pagamento: [[PedidoVenda.FormaPagamento]]</t>
  </si>
  <si>
    <t>Condição de pagamento: [[PedidoVenda.CondicaoPagamento]]</t>
  </si>
  <si>
    <t>Condição de frete: [[PedidoVenda.CondicaoFrete]]</t>
  </si>
  <si>
    <t>Transportadora: [[PedidoVenda.Transportadora.RazaoSocial]]</t>
  </si>
  <si>
    <t>Quantidade de Volumes: [[PedidoVenda.QuantidadeVolumes]]</t>
  </si>
  <si>
    <t>Peso bruto (kg): [[PedidoVenda.PesoBruto]]</t>
  </si>
  <si>
    <t>Peso líquido (kg): [[PedidoVenda.PesoLiquido]]</t>
  </si>
  <si>
    <t>[[PedidoVenda.Observacoes]]</t>
  </si>
  <si>
    <t>[[PedidoVenda.Responsavel.Nome]]</t>
  </si>
  <si>
    <t>[[PedidoVenda.Responsavel.Email]]</t>
  </si>
  <si>
    <t>Pedido de venda [[PedidoVenda.Numero]]</t>
  </si>
  <si>
    <t>[[PedidoVenda.Impostos.Nome]]</t>
  </si>
  <si>
    <t>[[PedidoVenda.Impostos.BaseDeCalculo]]</t>
  </si>
  <si>
    <t>[[PedidoVenda.Impostos.Valor]]</t>
  </si>
  <si>
    <t>[[PedidoVenda.ItemPedidoVenda.DataEntrega.Data]]</t>
  </si>
  <si>
    <t>11/06/2026
[[DataDeHoje.HoraMinuto]]</t>
  </si>
  <si>
    <t>11/06/2026
01:05</t>
  </si>
  <si>
    <t>Pedido de venda 24509</t>
  </si>
  <si>
    <t>Natureza da operação: 5405 - Venda de merc. com subst. trib., como contrib. substituído</t>
  </si>
  <si>
    <t>Moeda: R$</t>
  </si>
  <si>
    <t>Valor total dos produtos  1094.38</t>
  </si>
  <si>
    <t>Frete  0</t>
  </si>
  <si>
    <t>Seguro  0</t>
  </si>
  <si>
    <t>Outras despesas  0</t>
  </si>
  <si>
    <t>Desconto  0</t>
  </si>
  <si>
    <t>Valor total  1094.38</t>
  </si>
  <si>
    <t>Forma de pagamento: A prazo</t>
  </si>
  <si>
    <t>Condição de pagamento: 21</t>
  </si>
  <si>
    <t>Condição de frete: </t>
  </si>
  <si>
    <t>Quantidade de Volumes: 11</t>
  </si>
  <si>
    <t>Peso bruto (kg): 16.5</t>
  </si>
  <si>
    <t>Peso líquido (kg): 14</t>
  </si>
  <si>
    <t>1</t>
  </si>
  <si>
    <t>POTE ABACAXI E COCO PREMIUM 1,5 LT FD C/4</t>
  </si>
  <si>
    <t>1  [[PedidoVenda.ItemPedidoVenda.UnidadeMedida]]</t>
  </si>
  <si>
    <t>1  CX</t>
  </si>
  <si>
    <t>R$ 84.35</t>
  </si>
  <si>
    <t>21050010</t>
  </si>
  <si>
    <t>10/06/2026</t>
  </si>
  <si>
    <t>0%</t>
  </si>
  <si>
    <t>00652</t>
  </si>
  <si>
    <t>2</t>
  </si>
  <si>
    <t>POTE BOMBOM PREMIUM 1,5 LT FD C/4</t>
  </si>
  <si>
    <t>47</t>
  </si>
  <si>
    <t>3</t>
  </si>
  <si>
    <t>POTE FRUTAS DO BOSQUE PREMIUM 1,5 LT FD C/4</t>
  </si>
  <si>
    <t>52</t>
  </si>
  <si>
    <t>4</t>
  </si>
  <si>
    <t>POTE MORANGO PREMIUM 1,5 LT FD C/4</t>
  </si>
  <si>
    <t>54</t>
  </si>
  <si>
    <t>5</t>
  </si>
  <si>
    <t>POTE NAPOLITANO CLASSICO 1,5 LT FD C/4</t>
  </si>
  <si>
    <t>2  [[PedidoVenda.ItemPedidoVenda.UnidadeMedida]]</t>
  </si>
  <si>
    <t>2  CX</t>
  </si>
  <si>
    <t>R$ 80.73</t>
  </si>
  <si>
    <t>R$ 161.46</t>
  </si>
  <si>
    <t>55</t>
  </si>
  <si>
    <t>6</t>
  </si>
  <si>
    <t>POTE PASSAS PREMIUM 1,5 LT FD C/4</t>
  </si>
  <si>
    <t>56</t>
  </si>
  <si>
    <t>7</t>
  </si>
  <si>
    <t>POTE PAVE PREMIUM 1,5 LT FD C/4</t>
  </si>
  <si>
    <t>57</t>
  </si>
  <si>
    <t>8</t>
  </si>
  <si>
    <t>AÇAI TRIBUS 250 ML - CX 18 UND</t>
  </si>
  <si>
    <t>1  un</t>
  </si>
  <si>
    <t>R$ 166.90</t>
  </si>
  <si>
    <t>R$ 166.9</t>
  </si>
  <si>
    <t>08119000</t>
  </si>
  <si>
    <t>115</t>
  </si>
  <si>
    <t>9</t>
  </si>
  <si>
    <t>TOP SUNDAE CHOCOLATE 16 UND</t>
  </si>
  <si>
    <t>R$ 129.96</t>
  </si>
  <si>
    <t>107</t>
  </si>
  <si>
    <t>10</t>
  </si>
  <si>
    <t>TOP SUNDAE MORANGO 16 UND</t>
  </si>
  <si>
    <t>108</t>
  </si>
  <si>
    <t>À SUPERMERCADO TROPICAL LTDA  ([[PedidoVenda.Cliente.RazaoSocial]]) – [[PedidoVenda.Cliente.CNPJ]]</t>
  </si>
  <si>
    <t>À SUPERMERCADO TROPICAL LTDA  (SUPERMERCADO TROPICAL LTDA) – [[PedidoVenda.Cliente.CNPJ]]</t>
  </si>
  <si>
    <t>À SUPERMERCADO TROPICAL LTDA  (SUPERMERCADO TROPICAL LTDA) – 00.159.769/0001-57</t>
  </si>
  <si>
    <t>AVENIDA MARECHAL CASTELO BRANCO, 1847, bairro Posto da Mata - Nova Viçosa/BA CEP 45.928-000</t>
  </si>
  <si>
    <t>A/C Sr(a) </t>
  </si>
  <si>
    <t>Telefone:  [[PedidoVenda.ContatoComercial.Celular]]</t>
  </si>
  <si>
    <t>Telefone:  </t>
  </si>
  <si>
    <t>E-mail: </t>
  </si>
  <si>
    <t>Emissão 09/06/2026</t>
  </si>
  <si>
    <t>Transportadora: </t>
  </si>
  <si>
    <t>Representante: 66.155.065 MARCELO SANTOS DOS ANJOS</t>
  </si>
  <si>
    <t>MARCELO SANTOS DOS ANJOS 66.155.065</t>
  </si>
  <si>
    <t>marcelaomalhacap@gmail.com</t>
  </si>
  <si>
    <t>COFINS</t>
  </si>
  <si>
    <t>ICMS</t>
  </si>
  <si>
    <t>ICMS anterior</t>
  </si>
  <si>
    <t>ICMS ST anterior</t>
  </si>
  <si>
    <t>PIS</t>
  </si>
  <si>
    <t>Pedido de venda 24508</t>
  </si>
  <si>
    <t>Valor total dos produtos  659.84</t>
  </si>
  <si>
    <t>Valor total  659.84</t>
  </si>
  <si>
    <t>Condição de pagamento: 10/17</t>
  </si>
  <si>
    <t>Quantidade de Volumes: 4</t>
  </si>
  <si>
    <t>Peso bruto (kg): 9</t>
  </si>
  <si>
    <t>Peso líquido (kg): 8.16</t>
  </si>
  <si>
    <t>Boleto 7 dias</t>
  </si>
  <si>
    <t>DELICKERS 26 UND</t>
  </si>
  <si>
    <t>R$ 212.40</t>
  </si>
  <si>
    <t>R$ 212.4</t>
  </si>
  <si>
    <t>00420</t>
  </si>
  <si>
    <t>CHOCOLLITO LEITISSIMO 26 UND</t>
  </si>
  <si>
    <t>R$ 187.52</t>
  </si>
  <si>
    <t>00071</t>
  </si>
  <si>
    <t>À 52.092.395 RITA DE CASSIA ALVES DE SOUZA GOMES  ([[PedidoVenda.Cliente.RazaoSocial]]) – [[PedidoVenda.Cliente.CNPJ]]</t>
  </si>
  <si>
    <t>À 52.092.395 RITA DE CASSIA ALVES DE SOUZA GOMES  (52.092.395 RITA DE CASSIA ALVES DE SOUZA GOMES) – [[PedidoVenda.Cliente.CNPJ]]</t>
  </si>
  <si>
    <t>À 52.092.395 RITA DE CASSIA ALVES DE SOUZA GOMES  (52.092.395 RITA DE CASSIA ALVES DE SOUZA GOMES) – 52.092.395/0001-01</t>
  </si>
  <si>
    <t>RUA CLERISTON ANDRADE, 134, bairro JARDIM CARAIPE - Teixeira de Freitas/BA CEP 45.990-740</t>
  </si>
  <si>
    <t>Pedido de venda 24507</t>
  </si>
  <si>
    <t>Valor total dos produtos  750.99</t>
  </si>
  <si>
    <t>Valor total  750.99</t>
  </si>
  <si>
    <t>Condição de pagamento: 7/14</t>
  </si>
  <si>
    <t>Quantidade de Volumes: 5</t>
  </si>
  <si>
    <t>Peso bruto (kg): 11.5</t>
  </si>
  <si>
    <t>Peso líquido (kg): 10.404</t>
  </si>
  <si>
    <t>DELICATO CHEESECAKE C/ FRUTAS VERMELHAS 22 UNID</t>
  </si>
  <si>
    <t>85</t>
  </si>
  <si>
    <t>DEMILK FRUTAS DO BOSQUE 30 UND</t>
  </si>
  <si>
    <t>R$ 99.28</t>
  </si>
  <si>
    <t>00173</t>
  </si>
  <si>
    <t>PICOLÉ MORANGO 0% ZERO AÇUCAR 30 UND</t>
  </si>
  <si>
    <t>R$ 183.44</t>
  </si>
  <si>
    <t>00151</t>
  </si>
  <si>
    <t>DOLCE BRASILE PISTACHIO CX 09</t>
  </si>
  <si>
    <t>R$ 125.91</t>
  </si>
  <si>
    <t>00541</t>
  </si>
  <si>
    <t>À DROGARIA SAPUCAIA LTDA  ([[PedidoVenda.Cliente.RazaoSocial]]) – [[PedidoVenda.Cliente.CNPJ]]</t>
  </si>
  <si>
    <t>À DROGARIA SAPUCAIA LTDA  (DROGARIA SAPUCAIA LTDA) – [[PedidoVenda.Cliente.CNPJ]]</t>
  </si>
  <si>
    <t>À DROGARIA SAPUCAIA LTDA  (DROGARIA SAPUCAIA LTDA) – 27.531.054/0001-30</t>
  </si>
  <si>
    <t>pc otavio mangabeira, 456, bairro sao joao - Itanhém/BA CEP 45.970-000</t>
  </si>
  <si>
    <t>Emissão 08/06/2026</t>
  </si>
  <si>
    <t>Pedido de venda 24506</t>
  </si>
  <si>
    <t>Valor total dos produtos  1170.08</t>
  </si>
  <si>
    <t>Valor total  1170.08</t>
  </si>
  <si>
    <t>Condição de pagamento: 15</t>
  </si>
  <si>
    <t>Quantidade de Volumes: 8</t>
  </si>
  <si>
    <t>Peso bruto (kg): 18.5</t>
  </si>
  <si>
    <t>Peso líquido (kg): 16.746</t>
  </si>
  <si>
    <t>08/06/2026</t>
  </si>
  <si>
    <t>CHOCOLLITO 26 UND</t>
  </si>
  <si>
    <t>00179</t>
  </si>
  <si>
    <t>DEMILK AMENDOIN 30 UND</t>
  </si>
  <si>
    <t>00192</t>
  </si>
  <si>
    <t>DEFRUT COCO 30 UND</t>
  </si>
  <si>
    <t>00174</t>
  </si>
  <si>
    <t>DELICATO CIOCCOTELLA 22 UNID.</t>
  </si>
  <si>
    <t>93</t>
  </si>
  <si>
    <t>À RESTAURANTE E CHURRASCARIA ALMEIDA CORREIA LTDA  ([[PedidoVenda.Cliente.RazaoSocial]]) – [[PedidoVenda.Cliente.CNPJ]]</t>
  </si>
  <si>
    <t>À RESTAURANTE E CHURRASCARIA ALMEIDA CORREIA LTDA  (RESTAURANTE E CHURRASCARIA ALMEIDA CORREIA LTDA) – [[PedidoVenda.Cliente.CNPJ]]</t>
  </si>
  <si>
    <t>À RESTAURANTE E CHURRASCARIA ALMEIDA CORREIA LTDA  (RESTAURANTE E CHURRASCARIA ALMEIDA CORREIA LTDA) – 14.018.905/0001-01</t>
  </si>
  <si>
    <t>RUA SÃO JOSÉ, 39, bairro SÃO JOÃO - Itanhém/BA CEP 45.970-000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</si>
</sst>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_ ;\-#,##0.00\ "/>
  </numFmts>
  <fonts count="19" x14ac:knownFonts="1">
    <font>
      <sz val="11"/>
      <color rgb="FF000000"/>
      <name val="Calibri"/>
      <family val="2"/>
      <charset val="1"/>
    </font>
    <font>
      <b/>
      <sz val="11"/>
      <color rgb="FF00000A"/>
      <name val="Arial"/>
      <family val="2"/>
    </font>
    <font>
      <b/>
      <sz val="9"/>
      <color rgb="FF00000A"/>
      <name val="Calibri"/>
      <family val="2"/>
    </font>
    <font>
      <sz val="7"/>
      <color rgb="FF00000A"/>
      <name val="Calibri"/>
      <family val="2"/>
    </font>
    <font>
      <sz val="8"/>
      <color rgb="FF000000"/>
      <name val="Calibri"/>
      <family val="2"/>
    </font>
    <font>
      <b/>
      <sz val="10"/>
      <color rgb="FF00000A"/>
      <name val="Calibri"/>
      <family val="2"/>
    </font>
    <font>
      <b/>
      <sz val="7"/>
      <color rgb="FF00000A"/>
      <name val="Calibri"/>
      <family val="2"/>
    </font>
    <font>
      <sz val="9"/>
      <color rgb="FF000000"/>
      <name val="Calibri"/>
      <family val="2"/>
      <charset val="1"/>
    </font>
    <font>
      <sz val="9"/>
      <color rgb="FF00000A"/>
      <name val="Calibri"/>
      <family val="2"/>
    </font>
    <font>
      <sz val="9"/>
      <color theme="0"/>
      <name val="Calibri"/>
      <family val="2"/>
    </font>
    <font>
      <sz val="9"/>
      <color rgb="FFFF0000"/>
      <name val="Calibri"/>
      <family val="2"/>
    </font>
    <font>
      <b/>
      <sz val="9"/>
      <color theme="0"/>
      <name val="Calibri"/>
      <family val="2"/>
    </font>
    <font>
      <sz val="9"/>
      <color rgb="FF00000A"/>
      <name val="Times New Roman"/>
      <family val="1"/>
    </font>
    <font>
      <sz val="9"/>
      <name val="Calibri"/>
      <family val="2"/>
    </font>
    <font>
      <sz val="8"/>
      <name val="Calibri"/>
      <family val="2"/>
    </font>
    <font>
      <sz val="9"/>
      <color rgb="FF000000"/>
      <name val="Calibri"/>
      <family val="2"/>
    </font>
    <font>
      <b/>
      <sz val="24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rgb="FF00000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164" fontId="0" fillId="0" borderId="0" xfId="0" applyNumberFormat="1"/>
    <xf numFmtId="0" fontId="6" fillId="0" borderId="0" xfId="0" applyFont="1" applyAlignment="1">
      <alignment vertical="top"/>
    </xf>
    <xf numFmtId="0" fontId="2" fillId="0" borderId="0" xfId="0" applyFont="1" applyBorder="1" applyAlignment="1">
      <alignment horizontal="left" vertical="center"/>
    </xf>
    <xf numFmtId="0" fontId="7" fillId="0" borderId="0" xfId="0" applyFont="1"/>
    <xf numFmtId="0" fontId="8" fillId="0" borderId="4" xfId="0" applyFont="1" applyBorder="1" applyAlignment="1">
      <alignment horizontal="left" vertical="top"/>
    </xf>
    <xf numFmtId="0" fontId="7" fillId="0" borderId="4" xfId="0" applyFont="1" applyBorder="1"/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Border="1"/>
    <xf numFmtId="0" fontId="8" fillId="0" borderId="0" xfId="0" applyFont="1" applyBorder="1" applyAlignment="1">
      <alignment vertical="top"/>
    </xf>
    <xf numFmtId="164" fontId="7" fillId="0" borderId="0" xfId="0" applyNumberFormat="1" applyFont="1"/>
    <xf numFmtId="0" fontId="2" fillId="0" borderId="0" xfId="0" applyFont="1" applyAlignment="1">
      <alignment vertical="top"/>
    </xf>
    <xf numFmtId="0" fontId="11" fillId="0" borderId="0" xfId="0" applyFont="1" applyAlignment="1">
      <alignment vertical="top"/>
    </xf>
    <xf numFmtId="164" fontId="7" fillId="0" borderId="4" xfId="0" applyNumberFormat="1" applyFont="1" applyBorder="1"/>
    <xf numFmtId="164" fontId="7" fillId="0" borderId="0" xfId="0" applyNumberFormat="1" applyFont="1" applyBorder="1"/>
    <xf numFmtId="0" fontId="8" fillId="0" borderId="4" xfId="0" applyFont="1" applyBorder="1" applyAlignment="1">
      <alignment horizontal="left"/>
    </xf>
    <xf numFmtId="0" fontId="2" fillId="0" borderId="4" xfId="0" applyFont="1" applyBorder="1" applyAlignment="1">
      <alignment vertical="top" wrapText="1"/>
    </xf>
    <xf numFmtId="0" fontId="8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6" fillId="0" borderId="0" xfId="0" applyFont="1" applyAlignment="1"/>
    <xf numFmtId="0" fontId="5" fillId="0" borderId="0" xfId="0" applyFont="1" applyBorder="1" applyAlignment="1">
      <alignment vertical="top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5" fontId="0" fillId="0" borderId="0" xfId="0" applyNumberFormat="1"/>
    <xf numFmtId="4" fontId="8" fillId="0" borderId="2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2" fillId="0" borderId="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4" fontId="8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2" fillId="0" borderId="2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 xmlns:xdr="http://schemas.openxmlformats.org/drawingml/2006/spreadsheetDrawing" xmlns:a="http://schemas.openxmlformats.org/drawingml/2006/main">
    <xdr:from>
      <xdr:col>1</xdr:col>
      <xdr:colOff>0</xdr:colOff>
      <xdr:row>3</xdr:row>
      <xdr:rowOff>0</xdr:rowOff>
    </xdr:from>
    <xdr:ext cx="1428750" cy="285750"/>
    <xdr:pic>
      <xdr:nvPicPr>
        <xdr:cNvPr id="1" name="image1.png" descr="imag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285750"/>
        </a:xfrm>
        <a:prstGeom prst="rect"/>
      </xdr:spPr>
    </xdr:pic>
    <xdr:clientData/>
  </xdr:oneCellAnchor>
  <xdr:oneCellAnchor xmlns:xdr="http://schemas.openxmlformats.org/drawingml/2006/spreadsheetDrawing" xmlns:a="http://schemas.openxmlformats.org/drawingml/2006/main">
    <xdr:from>
      <xdr:col>1</xdr:col>
      <xdr:colOff>0</xdr:colOff>
      <xdr:row>3</xdr:row>
      <xdr:rowOff>0</xdr:rowOff>
    </xdr:from>
    <xdr:ext cx="1428750" cy="285750"/>
    <xdr:pic>
      <xdr:nvPicPr>
        <xdr:cNvPr id="2" name="image1.png" descr="imag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285750"/>
        </a:xfrm>
        <a:prstGeom prst="rect"/>
      </xdr:spPr>
    </xdr:pic>
    <xdr:clientData/>
  </xdr:oneCellAnchor>
  <xdr:oneCellAnchor xmlns:xdr="http://schemas.openxmlformats.org/drawingml/2006/spreadsheetDrawing" xmlns:a="http://schemas.openxmlformats.org/drawingml/2006/main">
    <xdr:from>
      <xdr:col>1</xdr:col>
      <xdr:colOff>0</xdr:colOff>
      <xdr:row>3</xdr:row>
      <xdr:rowOff>0</xdr:rowOff>
    </xdr:from>
    <xdr:ext cx="1428750" cy="285750"/>
    <xdr:pic>
      <xdr:nvPicPr>
        <xdr:cNvPr id="3" name="image1.png" descr="imag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285750"/>
        </a:xfrm>
        <a:prstGeom prst="rect"/>
      </xdr:spPr>
    </xdr:pic>
    <xdr:clientData/>
  </xdr:oneCellAnchor>
  <xdr:oneCellAnchor xmlns:xdr="http://schemas.openxmlformats.org/drawingml/2006/spreadsheetDrawing" xmlns:a="http://schemas.openxmlformats.org/drawingml/2006/main">
    <xdr:from>
      <xdr:col>1</xdr:col>
      <xdr:colOff>0</xdr:colOff>
      <xdr:row>3</xdr:row>
      <xdr:rowOff>0</xdr:rowOff>
    </xdr:from>
    <xdr:ext cx="1428750" cy="285750"/>
    <xdr:pic>
      <xdr:nvPicPr>
        <xdr:cNvPr id="4" name="image1.png" descr="imag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28750" cy="285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/xl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4"/>
  <sheetViews>
    <sheetView tabSelected="1" topLeftCell="A25" zoomScaleNormal="100" workbookViewId="0">
      <selection activeCell="B18" sqref="B18"/>
    </sheetView>
  </sheetViews>
  <sheetFormatPr defaultRowHeight="15" x14ac:dyDescent="0.25"/>
  <cols>
    <col min="1" max="1" width="1.85546875" customWidth="1"/>
    <col min="2" max="2" width="27.5703125" customWidth="1"/>
    <col min="3" max="3" width="3.5703125" customWidth="1"/>
    <col min="4" max="4" width="2.7109375" customWidth="1"/>
    <col min="5" max="5" width="4.85546875" customWidth="1"/>
    <col min="6" max="6" width="29.7109375" customWidth="1"/>
    <col min="7" max="10" width="8.7109375" customWidth="1"/>
    <col min="11" max="11" width="9.28515625" customWidth="1"/>
    <col min="12" max="12" width="11.140625" customWidth="1"/>
    <col min="13" max="13" width="8.28515625" customWidth="1"/>
    <col min="14" max="14" width="10.140625" customWidth="1"/>
    <col min="15" max="15" width="10.7109375" customWidth="1"/>
    <col min="16" max="16" width="11.7109375" style="2" customWidth="1"/>
    <col min="17" max="17" width="10.85546875" customWidth="1"/>
    <col min="18" max="18" width="1.42578125" style="1" customWidth="1"/>
    <col min="19" max="19" width="1.140625" style="1" customWidth="1"/>
    <col min="20" max="21" width="8.7109375" customWidth="1"/>
    <col min="22" max="22" width="14.42578125" customWidth="1"/>
    <col min="23" max="1028" width="8.7109375" customWidth="1"/>
  </cols>
  <sheetData>
    <row r="1" spans="1:19" ht="15" customHeight="1" x14ac:dyDescent="0.25">
      <c r="A1" s="41"/>
      <c r="B1" s="43"/>
      <c r="C1" s="57" t="s">
        <v>66</v>
      </c>
      <c r="D1" s="57"/>
      <c r="E1" s="57"/>
      <c r="F1" s="57"/>
      <c r="G1" s="57"/>
      <c r="H1" s="57"/>
      <c r="I1" s="57"/>
      <c r="J1" s="57"/>
      <c r="K1" s="57"/>
      <c r="L1" s="57"/>
      <c r="M1" s="60" t="s">
        <v>65</v>
      </c>
      <c r="N1" s="60"/>
      <c r="O1" s="60"/>
      <c r="P1" s="60"/>
      <c r="Q1" s="61"/>
      <c r="S1" s="30"/>
    </row>
    <row r="2" spans="1:19" ht="15" customHeight="1" x14ac:dyDescent="0.25">
      <c r="A2" s="41"/>
      <c r="B2" s="45"/>
      <c r="C2" s="58"/>
      <c r="D2" s="58"/>
      <c r="E2" s="58"/>
      <c r="F2" s="58"/>
      <c r="G2" s="58"/>
      <c r="H2" s="58"/>
      <c r="I2" s="58"/>
      <c r="J2" s="58"/>
      <c r="K2" s="58"/>
      <c r="L2" s="58"/>
      <c r="M2" s="62"/>
      <c r="N2" s="62"/>
      <c r="O2" s="62"/>
      <c r="P2" s="62"/>
      <c r="Q2" s="63"/>
      <c r="S2" s="30"/>
    </row>
    <row r="3" spans="1:19" ht="15" customHeight="1" x14ac:dyDescent="0.25">
      <c r="A3" s="41"/>
      <c r="B3" s="44"/>
      <c r="C3" s="58"/>
      <c r="D3" s="58"/>
      <c r="E3" s="58"/>
      <c r="F3" s="58"/>
      <c r="G3" s="58"/>
      <c r="H3" s="58"/>
      <c r="I3" s="58"/>
      <c r="J3" s="58"/>
      <c r="K3" s="58"/>
      <c r="L3" s="58"/>
      <c r="M3" s="62"/>
      <c r="N3" s="62"/>
      <c r="O3" s="62"/>
      <c r="P3" s="62"/>
      <c r="Q3" s="63"/>
      <c r="S3" s="30"/>
    </row>
    <row r="4" spans="1:19" ht="15" customHeight="1" x14ac:dyDescent="0.25">
      <c r="B4" s="44">
        <v/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62"/>
      <c r="N4" s="62"/>
      <c r="O4" s="62"/>
      <c r="P4" s="62"/>
      <c r="Q4" s="63"/>
      <c r="R4" s="30"/>
      <c r="S4" s="30"/>
    </row>
    <row r="5" spans="1:19" ht="15" customHeight="1" x14ac:dyDescent="0.25">
      <c r="B5" s="39"/>
      <c r="C5" s="58"/>
      <c r="D5" s="58"/>
      <c r="E5" s="58"/>
      <c r="F5" s="58"/>
      <c r="G5" s="58"/>
      <c r="H5" s="58"/>
      <c r="I5" s="58"/>
      <c r="J5" s="58"/>
      <c r="K5" s="58"/>
      <c r="L5" s="58"/>
      <c r="M5" s="62"/>
      <c r="N5" s="62"/>
      <c r="O5" s="62"/>
      <c r="P5" s="62"/>
      <c r="Q5" s="63"/>
      <c r="R5" s="30"/>
      <c r="S5" s="30"/>
    </row>
    <row r="6" spans="1:19" ht="28.5" customHeight="1" x14ac:dyDescent="0.25">
      <c r="B6" s="40"/>
      <c r="C6" s="59"/>
      <c r="D6" s="59"/>
      <c r="E6" s="59"/>
      <c r="F6" s="59"/>
      <c r="G6" s="59"/>
      <c r="H6" s="59"/>
      <c r="I6" s="59"/>
      <c r="J6" s="59"/>
      <c r="K6" s="59"/>
      <c r="L6" s="59"/>
      <c r="M6" s="64"/>
      <c r="N6" s="64"/>
      <c r="O6" s="64"/>
      <c r="P6" s="64"/>
      <c r="Q6" s="65"/>
      <c r="R6" s="30"/>
      <c r="S6" s="30"/>
    </row>
    <row r="7" spans="1:19" ht="6.75" customHeight="1" x14ac:dyDescent="0.25"/>
    <row r="8" spans="1:19" ht="10.5" customHeight="1" x14ac:dyDescent="0.25">
      <c r="O8" s="66" t="s">
        <v>134</v>
      </c>
      <c r="P8" s="66"/>
      <c r="Q8" s="66"/>
      <c r="R8" s="31"/>
      <c r="S8" s="31"/>
    </row>
    <row r="9" spans="1:19" ht="12.75" customHeight="1" x14ac:dyDescent="0.25">
      <c r="B9" s="56" t="s">
        <v>128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spans="1:19" ht="14.25" customHeight="1" x14ac:dyDescent="0.25">
      <c r="B10" s="56" t="s">
        <v>129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 spans="1:19" x14ac:dyDescent="0.25">
      <c r="B11" s="56" t="s">
        <v>130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spans="1:19" x14ac:dyDescent="0.25">
      <c r="B12" s="56" t="s">
        <v>132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spans="1:19" x14ac:dyDescent="0.25">
      <c r="B13" s="55" t="s">
        <v>133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32"/>
      <c r="S13" s="32"/>
    </row>
    <row r="14" spans="1:19" x14ac:dyDescent="0.25">
      <c r="B14" s="47" t="s">
        <v>67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21"/>
      <c r="S14" s="12"/>
    </row>
    <row r="15" spans="1:19" x14ac:dyDescent="0.25">
      <c r="B15" s="47" t="s">
        <v>68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21"/>
      <c r="S15" s="12"/>
    </row>
    <row r="16" spans="1:19" x14ac:dyDescent="0.25">
      <c r="B16" s="47" t="s">
        <v>136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21"/>
      <c r="S16" s="12"/>
    </row>
    <row r="17" spans="2:22" x14ac:dyDescent="0.25">
      <c r="B17" s="53" t="s">
        <v>0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4"/>
      <c r="S17" s="12"/>
    </row>
    <row r="18" spans="2:22" x14ac:dyDescent="0.25">
      <c r="B18" s="6" t="s">
        <v>8</v>
      </c>
      <c r="C18" s="69" t="s">
        <v>9</v>
      </c>
      <c r="D18" s="69"/>
      <c r="E18" s="7"/>
      <c r="F18" s="69" t="s">
        <v>10</v>
      </c>
      <c r="G18" s="69"/>
      <c r="H18" s="69"/>
      <c r="I18" s="69"/>
      <c r="J18" s="8" t="s">
        <v>7</v>
      </c>
      <c r="K18" s="8" t="s">
        <v>6</v>
      </c>
      <c r="L18" s="8" t="s">
        <v>5</v>
      </c>
      <c r="M18" s="9" t="s">
        <v>4</v>
      </c>
      <c r="N18" s="8" t="s">
        <v>3</v>
      </c>
      <c r="O18" s="8" t="s">
        <v>2</v>
      </c>
      <c r="P18" s="8" t="s">
        <v>1</v>
      </c>
      <c r="Q18" s="20" t="s">
        <v>18</v>
      </c>
      <c r="R18" s="22"/>
      <c r="S18" s="22"/>
      <c r="T18" s="3"/>
      <c r="U18" s="3"/>
      <c r="V18" s="36"/>
    </row>
    <row r="19" spans="2:22" ht="18.75" customHeight="1" x14ac:dyDescent="0.25">
      <c r="B19" s="10" t="s">
        <v>81</v>
      </c>
      <c r="C19" s="70" t="s">
        <v>89</v>
      </c>
      <c r="D19" s="70"/>
      <c r="E19" s="70"/>
      <c r="F19" s="71" t="s">
        <v>82</v>
      </c>
      <c r="G19" s="71"/>
      <c r="H19" s="71"/>
      <c r="I19" s="71"/>
      <c r="J19" s="11" t="s">
        <v>86</v>
      </c>
      <c r="K19" s="11" t="s">
        <v>87</v>
      </c>
      <c r="L19" s="37" t="s">
        <v>84</v>
      </c>
      <c r="M19" s="38" t="s">
        <v>85</v>
      </c>
      <c r="N19" s="11" t="s">
        <v>88</v>
      </c>
      <c r="O19" s="11" t="s">
        <v>88</v>
      </c>
      <c r="P19" s="38" t="s">
        <v>85</v>
      </c>
      <c r="Q19" s="37">
        <f>R19+S19</f>
      </c>
      <c r="R19" s="23">
        <v>84.35</v>
      </c>
      <c r="S19" s="23">
        <v>0</v>
      </c>
    </row>
    <row r="20" spans="2:22" ht="42.75" customHeight="1" x14ac:dyDescent="0.25">
      <c r="R20" s="26"/>
      <c r="S20" s="26"/>
    </row>
    <row r="21" spans="2:22" ht="18.75" customHeight="1" x14ac:dyDescent="0.25">
      <c r="B21" s="10" t="s">
        <v>90</v>
      </c>
      <c r="C21" s="70" t="s">
        <v>92</v>
      </c>
      <c r="D21" s="70"/>
      <c r="E21" s="70"/>
      <c r="F21" s="71" t="s">
        <v>91</v>
      </c>
      <c r="G21" s="71"/>
      <c r="H21" s="71"/>
      <c r="I21" s="71"/>
      <c r="J21" s="11" t="s">
        <v>86</v>
      </c>
      <c r="K21" s="11" t="s">
        <v>87</v>
      </c>
      <c r="L21" s="37" t="s">
        <v>84</v>
      </c>
      <c r="M21" s="38" t="s">
        <v>85</v>
      </c>
      <c r="N21" s="11" t="s">
        <v>88</v>
      </c>
      <c r="O21" s="11" t="s">
        <v>88</v>
      </c>
      <c r="P21" s="38" t="s">
        <v>85</v>
      </c>
      <c r="Q21" s="37">
        <f>R21+S21</f>
      </c>
      <c r="R21" s="23">
        <v>84.35</v>
      </c>
      <c r="S21" s="23">
        <v>0</v>
      </c>
    </row>
    <row r="22" spans="2:22" ht="42.75" customHeight="1" x14ac:dyDescent="0.25">
      <c r="R22" s="26"/>
      <c r="S22" s="26"/>
    </row>
    <row r="23" spans="2:22" ht="18.75" customHeight="1" x14ac:dyDescent="0.25">
      <c r="B23" s="10" t="s">
        <v>93</v>
      </c>
      <c r="C23" s="70" t="s">
        <v>95</v>
      </c>
      <c r="D23" s="70"/>
      <c r="E23" s="70"/>
      <c r="F23" s="71" t="s">
        <v>94</v>
      </c>
      <c r="G23" s="71"/>
      <c r="H23" s="71"/>
      <c r="I23" s="71"/>
      <c r="J23" s="11" t="s">
        <v>86</v>
      </c>
      <c r="K23" s="11" t="s">
        <v>87</v>
      </c>
      <c r="L23" s="37" t="s">
        <v>84</v>
      </c>
      <c r="M23" s="38" t="s">
        <v>85</v>
      </c>
      <c r="N23" s="11" t="s">
        <v>88</v>
      </c>
      <c r="O23" s="11" t="s">
        <v>88</v>
      </c>
      <c r="P23" s="38" t="s">
        <v>85</v>
      </c>
      <c r="Q23" s="37">
        <f>R23+S23</f>
      </c>
      <c r="R23" s="23">
        <v>84.35</v>
      </c>
      <c r="S23" s="23">
        <v>0</v>
      </c>
    </row>
    <row r="24" spans="2:22" ht="42.75" customHeight="1" x14ac:dyDescent="0.25">
      <c r="R24" s="26"/>
      <c r="S24" s="26"/>
    </row>
    <row r="25" spans="2:22" ht="18.75" customHeight="1" x14ac:dyDescent="0.25">
      <c r="B25" s="10" t="s">
        <v>96</v>
      </c>
      <c r="C25" s="70" t="s">
        <v>98</v>
      </c>
      <c r="D25" s="70"/>
      <c r="E25" s="70"/>
      <c r="F25" s="71" t="s">
        <v>97</v>
      </c>
      <c r="G25" s="71"/>
      <c r="H25" s="71"/>
      <c r="I25" s="71"/>
      <c r="J25" s="11" t="s">
        <v>86</v>
      </c>
      <c r="K25" s="11" t="s">
        <v>87</v>
      </c>
      <c r="L25" s="37" t="s">
        <v>84</v>
      </c>
      <c r="M25" s="38" t="s">
        <v>85</v>
      </c>
      <c r="N25" s="11" t="s">
        <v>88</v>
      </c>
      <c r="O25" s="11" t="s">
        <v>88</v>
      </c>
      <c r="P25" s="38" t="s">
        <v>85</v>
      </c>
      <c r="Q25" s="37">
        <f>R25+S25</f>
      </c>
      <c r="R25" s="23">
        <v>84.35</v>
      </c>
      <c r="S25" s="23">
        <v>0</v>
      </c>
    </row>
    <row r="26" spans="2:22" ht="42.75" customHeight="1" x14ac:dyDescent="0.25">
      <c r="R26" s="26"/>
      <c r="S26" s="26"/>
    </row>
    <row r="27" spans="2:22" ht="18.75" customHeight="1" x14ac:dyDescent="0.25">
      <c r="B27" s="10" t="s">
        <v>99</v>
      </c>
      <c r="C27" s="70" t="s">
        <v>105</v>
      </c>
      <c r="D27" s="70"/>
      <c r="E27" s="70"/>
      <c r="F27" s="71" t="s">
        <v>100</v>
      </c>
      <c r="G27" s="71"/>
      <c r="H27" s="71"/>
      <c r="I27" s="71"/>
      <c r="J27" s="11" t="s">
        <v>86</v>
      </c>
      <c r="K27" s="11" t="s">
        <v>87</v>
      </c>
      <c r="L27" s="37" t="s">
        <v>102</v>
      </c>
      <c r="M27" s="38" t="s">
        <v>103</v>
      </c>
      <c r="N27" s="11" t="s">
        <v>88</v>
      </c>
      <c r="O27" s="11" t="s">
        <v>88</v>
      </c>
      <c r="P27" s="38" t="s">
        <v>104</v>
      </c>
      <c r="Q27" s="37">
        <f>R27+S27</f>
      </c>
      <c r="R27" s="23">
        <v>161.46</v>
      </c>
      <c r="S27" s="23">
        <v>0</v>
      </c>
    </row>
    <row r="28" spans="2:22" ht="42.75" customHeight="1" x14ac:dyDescent="0.25">
      <c r="R28" s="26"/>
      <c r="S28" s="26"/>
    </row>
    <row r="29" spans="2:22" ht="18.75" customHeight="1" x14ac:dyDescent="0.25">
      <c r="B29" s="10" t="s">
        <v>106</v>
      </c>
      <c r="C29" s="70" t="s">
        <v>108</v>
      </c>
      <c r="D29" s="70"/>
      <c r="E29" s="70"/>
      <c r="F29" s="71" t="s">
        <v>107</v>
      </c>
      <c r="G29" s="71"/>
      <c r="H29" s="71"/>
      <c r="I29" s="71"/>
      <c r="J29" s="11" t="s">
        <v>86</v>
      </c>
      <c r="K29" s="11" t="s">
        <v>87</v>
      </c>
      <c r="L29" s="37" t="s">
        <v>84</v>
      </c>
      <c r="M29" s="38" t="s">
        <v>85</v>
      </c>
      <c r="N29" s="11" t="s">
        <v>88</v>
      </c>
      <c r="O29" s="11" t="s">
        <v>88</v>
      </c>
      <c r="P29" s="38" t="s">
        <v>85</v>
      </c>
      <c r="Q29" s="37">
        <f>R29+S29</f>
      </c>
      <c r="R29" s="23">
        <v>84.35</v>
      </c>
      <c r="S29" s="23">
        <v>0</v>
      </c>
    </row>
    <row r="30" spans="2:22" ht="42.75" customHeight="1" x14ac:dyDescent="0.25">
      <c r="R30" s="26"/>
      <c r="S30" s="26"/>
    </row>
    <row r="31" spans="2:22" ht="18.75" customHeight="1" x14ac:dyDescent="0.25">
      <c r="B31" s="10" t="s">
        <v>109</v>
      </c>
      <c r="C31" s="70" t="s">
        <v>111</v>
      </c>
      <c r="D31" s="70"/>
      <c r="E31" s="70"/>
      <c r="F31" s="71" t="s">
        <v>110</v>
      </c>
      <c r="G31" s="71"/>
      <c r="H31" s="71"/>
      <c r="I31" s="71"/>
      <c r="J31" s="11" t="s">
        <v>86</v>
      </c>
      <c r="K31" s="11" t="s">
        <v>87</v>
      </c>
      <c r="L31" s="37" t="s">
        <v>84</v>
      </c>
      <c r="M31" s="38" t="s">
        <v>85</v>
      </c>
      <c r="N31" s="11" t="s">
        <v>88</v>
      </c>
      <c r="O31" s="11" t="s">
        <v>88</v>
      </c>
      <c r="P31" s="38" t="s">
        <v>85</v>
      </c>
      <c r="Q31" s="37">
        <f>R31+S31</f>
      </c>
      <c r="R31" s="23">
        <v>84.35</v>
      </c>
      <c r="S31" s="23">
        <v>0</v>
      </c>
    </row>
    <row r="32" spans="2:22" ht="42.75" customHeight="1" x14ac:dyDescent="0.25">
      <c r="R32" s="26"/>
      <c r="S32" s="26"/>
    </row>
    <row r="33" spans="2:22" ht="18.75" customHeight="1" x14ac:dyDescent="0.25">
      <c r="B33" s="10" t="s">
        <v>112</v>
      </c>
      <c r="C33" s="70" t="s">
        <v>118</v>
      </c>
      <c r="D33" s="70"/>
      <c r="E33" s="70"/>
      <c r="F33" s="71" t="s">
        <v>113</v>
      </c>
      <c r="G33" s="71"/>
      <c r="H33" s="71"/>
      <c r="I33" s="71"/>
      <c r="J33" s="11" t="s">
        <v>117</v>
      </c>
      <c r="K33" s="11" t="s">
        <v>87</v>
      </c>
      <c r="L33" s="37" t="s">
        <v>114</v>
      </c>
      <c r="M33" s="38" t="s">
        <v>115</v>
      </c>
      <c r="N33" s="11" t="s">
        <v>88</v>
      </c>
      <c r="O33" s="11" t="s">
        <v>88</v>
      </c>
      <c r="P33" s="38" t="s">
        <v>116</v>
      </c>
      <c r="Q33" s="37">
        <f>R33+S33</f>
      </c>
      <c r="R33" s="23">
        <v>166.9</v>
      </c>
      <c r="S33" s="23">
        <v>0</v>
      </c>
    </row>
    <row r="34" spans="2:22" ht="42.75" customHeight="1" x14ac:dyDescent="0.25">
      <c r="R34" s="26"/>
      <c r="S34" s="26"/>
    </row>
    <row r="35" spans="2:22" ht="18.75" customHeight="1" x14ac:dyDescent="0.25">
      <c r="B35" s="10" t="s">
        <v>119</v>
      </c>
      <c r="C35" s="70" t="s">
        <v>122</v>
      </c>
      <c r="D35" s="70"/>
      <c r="E35" s="70"/>
      <c r="F35" s="71" t="s">
        <v>120</v>
      </c>
      <c r="G35" s="71"/>
      <c r="H35" s="71"/>
      <c r="I35" s="71"/>
      <c r="J35" s="11" t="s">
        <v>86</v>
      </c>
      <c r="K35" s="11" t="s">
        <v>87</v>
      </c>
      <c r="L35" s="37" t="s">
        <v>114</v>
      </c>
      <c r="M35" s="38" t="s">
        <v>121</v>
      </c>
      <c r="N35" s="11" t="s">
        <v>88</v>
      </c>
      <c r="O35" s="11" t="s">
        <v>88</v>
      </c>
      <c r="P35" s="38" t="s">
        <v>121</v>
      </c>
      <c r="Q35" s="37">
        <f>R35+S35</f>
      </c>
      <c r="R35" s="23">
        <v>129.96</v>
      </c>
      <c r="S35" s="23">
        <v>0</v>
      </c>
    </row>
    <row r="36" spans="2:22" ht="42.75" customHeight="1" x14ac:dyDescent="0.25">
      <c r="R36" s="26"/>
      <c r="S36" s="26"/>
    </row>
    <row r="37" spans="2:22" ht="18.75" customHeight="1" x14ac:dyDescent="0.25">
      <c r="B37" s="10" t="s">
        <v>123</v>
      </c>
      <c r="C37" s="70" t="s">
        <v>125</v>
      </c>
      <c r="D37" s="70"/>
      <c r="E37" s="70"/>
      <c r="F37" s="71" t="s">
        <v>124</v>
      </c>
      <c r="G37" s="71"/>
      <c r="H37" s="71"/>
      <c r="I37" s="71"/>
      <c r="J37" s="11" t="s">
        <v>86</v>
      </c>
      <c r="K37" s="11" t="s">
        <v>87</v>
      </c>
      <c r="L37" s="37" t="s">
        <v>114</v>
      </c>
      <c r="M37" s="38" t="s">
        <v>121</v>
      </c>
      <c r="N37" s="11" t="s">
        <v>88</v>
      </c>
      <c r="O37" s="11" t="s">
        <v>88</v>
      </c>
      <c r="P37" s="38" t="s">
        <v>121</v>
      </c>
      <c r="Q37" s="37">
        <f>R37+S37</f>
      </c>
      <c r="R37" s="23">
        <v>129.96</v>
      </c>
      <c r="S37" s="23">
        <v>0</v>
      </c>
    </row>
    <row r="38" spans="2:22" ht="42.75" customHeight="1" x14ac:dyDescent="0.25">
      <c r="R38" s="26"/>
      <c r="S38" s="26"/>
    </row>
    <row r="39" spans="2:22" x14ac:dyDescent="0.25">
      <c r="B39" s="53" t="s">
        <v>11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4"/>
      <c r="S39" s="12"/>
    </row>
    <row r="40" spans="2:22" ht="12.75" customHeight="1" x14ac:dyDescent="0.25">
      <c r="B40" s="13"/>
      <c r="C40" s="13"/>
      <c r="D40" s="51" t="s">
        <v>69</v>
      </c>
      <c r="E40" s="51"/>
      <c r="F40" s="51"/>
      <c r="G40" s="51"/>
      <c r="H40" s="51"/>
      <c r="I40" s="51"/>
      <c r="J40" s="51"/>
      <c r="K40" s="13"/>
      <c r="L40" s="13"/>
      <c r="M40" s="13"/>
      <c r="N40" s="5"/>
      <c r="O40" s="33" t="s">
        <v>14</v>
      </c>
      <c r="P40" s="33" t="s">
        <v>13</v>
      </c>
      <c r="Q40" s="33" t="s">
        <v>12</v>
      </c>
      <c r="R40" s="24"/>
      <c r="S40" s="12"/>
    </row>
    <row r="41" spans="2:22" ht="12" customHeight="1" x14ac:dyDescent="0.25">
      <c r="B41" s="13"/>
      <c r="C41" s="13"/>
      <c r="D41" s="51" t="s">
        <v>70</v>
      </c>
      <c r="E41" s="51"/>
      <c r="F41" s="51"/>
      <c r="G41" s="51"/>
      <c r="H41" s="51"/>
      <c r="I41" s="51"/>
      <c r="J41" s="51"/>
      <c r="K41" s="13"/>
      <c r="L41" s="13"/>
      <c r="M41" s="13"/>
      <c r="N41" s="5"/>
      <c r="O41" s="38" t="str">
        <f>IF(Sheet1!A2:A6&lt;&gt;"",Sheet1!A2:A6,"")</f>
      </c>
      <c r="P41" s="38" t="str">
        <f>IF(Sheet1!B2:B6&lt;&gt;"",Sheet1!B2:B6,"")</f>
      </c>
      <c r="Q41" s="38" t="str">
        <f>IF(Sheet1!C2:C6&lt;&gt;"",Sheet1!C2:C6,"")</f>
      </c>
      <c r="R41" s="24"/>
      <c r="S41" s="12"/>
    </row>
    <row r="42" spans="2:22" ht="11.25" customHeight="1" x14ac:dyDescent="0.25">
      <c r="B42" s="5"/>
      <c r="C42" s="5"/>
      <c r="D42" s="51" t="s">
        <v>71</v>
      </c>
      <c r="E42" s="51"/>
      <c r="F42" s="51"/>
      <c r="G42" s="51"/>
      <c r="H42" s="51"/>
      <c r="I42" s="51"/>
      <c r="J42" s="51"/>
      <c r="K42" s="5"/>
      <c r="L42" s="5"/>
      <c r="M42" s="5"/>
      <c r="N42" s="5"/>
      <c r="O42" s="38" t="str">
        <f>IF(Sheet1!A7:A11&lt;&gt;"",Sheet1!A7:A11,"")</f>
      </c>
      <c r="P42" s="38" t="str">
        <f>IF(Sheet1!B7:B11&lt;&gt;"",Sheet1!B7:B11,"")</f>
      </c>
      <c r="Q42" s="38" t="str">
        <f>IF(Sheet1!C7:C11&lt;&gt;"",Sheet1!C7:C11,"")</f>
      </c>
      <c r="R42" s="12"/>
      <c r="S42" s="12"/>
    </row>
    <row r="43" spans="2:22" ht="11.25" customHeight="1" x14ac:dyDescent="0.25">
      <c r="B43" s="5"/>
      <c r="C43" s="5"/>
      <c r="D43" s="51" t="s">
        <v>72</v>
      </c>
      <c r="E43" s="51"/>
      <c r="F43" s="51"/>
      <c r="G43" s="51"/>
      <c r="H43" s="51"/>
      <c r="I43" s="51"/>
      <c r="J43" s="51"/>
      <c r="K43" s="5"/>
      <c r="L43" s="5"/>
      <c r="M43" s="5"/>
      <c r="N43" s="5"/>
      <c r="O43" s="38" t="str">
        <f>IF(Sheet1!A12:A16&lt;&gt;"",Sheet1!A12:A16,"")</f>
      </c>
      <c r="P43" s="38" t="str">
        <f>IF(Sheet1!B12:B16&lt;&gt;"",Sheet1!B12:B16,"")</f>
      </c>
      <c r="Q43" s="38" t="str">
        <f>IF(Sheet1!C12:C16&lt;&gt;"",Sheet1!C12:C16,"")</f>
      </c>
      <c r="R43" s="12"/>
      <c r="S43" s="12"/>
    </row>
    <row r="44" spans="2:22" ht="11.25" customHeight="1" x14ac:dyDescent="0.25">
      <c r="B44" s="5"/>
      <c r="C44" s="5"/>
      <c r="D44" s="51" t="s">
        <v>73</v>
      </c>
      <c r="E44" s="51"/>
      <c r="F44" s="51"/>
      <c r="G44" s="51"/>
      <c r="H44" s="51"/>
      <c r="I44" s="51"/>
      <c r="J44" s="51"/>
      <c r="K44" s="5"/>
      <c r="L44" s="5"/>
      <c r="M44" s="5"/>
      <c r="N44" s="5"/>
      <c r="O44" s="38" t="str">
        <f>IF(Sheet1!A17&lt;&gt;"",Sheet1!A17,"")</f>
      </c>
      <c r="P44" s="38" t="str">
        <f>IF(Sheet1!B17&lt;&gt;"",Sheet1!B17,"")</f>
      </c>
      <c r="Q44" s="38" t="str">
        <f>IF(Sheet1!C17&lt;&gt;"",Sheet1!C17,"")</f>
      </c>
      <c r="R44" s="12"/>
      <c r="S44" s="12"/>
    </row>
    <row r="45" spans="2:22" ht="11.25" customHeight="1" x14ac:dyDescent="0.25">
      <c r="B45" s="5"/>
      <c r="C45" s="5"/>
      <c r="D45" s="52" t="s">
        <v>74</v>
      </c>
      <c r="E45" s="52"/>
      <c r="F45" s="52"/>
      <c r="G45" s="52"/>
      <c r="H45" s="52"/>
      <c r="I45" s="52"/>
      <c r="J45" s="52"/>
      <c r="K45" s="5"/>
      <c r="L45" s="5"/>
      <c r="M45" s="5"/>
      <c r="N45" s="5"/>
      <c r="O45" s="38" t="str">
        <f>IF(Sheet1!A18&lt;&gt;"",Sheet1!A18,"")</f>
      </c>
      <c r="P45" s="38" t="str">
        <f>IF(Sheet1!B18&lt;&gt;"",Sheet1!B18,"")</f>
      </c>
      <c r="Q45" s="38" t="str">
        <f>IF(Sheet1!C18&lt;&gt;"",Sheet1!C18,"")</f>
      </c>
      <c r="R45" s="12"/>
      <c r="S45" s="12"/>
    </row>
    <row r="46" spans="2:22" ht="11.25" customHeight="1" x14ac:dyDescent="0.25">
      <c r="B46" s="5"/>
      <c r="C46" s="5"/>
      <c r="D46" s="5"/>
      <c r="E46" s="5"/>
      <c r="F46" s="5"/>
      <c r="G46" s="5"/>
      <c r="H46" s="15"/>
      <c r="I46" s="16"/>
      <c r="J46" s="16"/>
      <c r="K46" s="5"/>
      <c r="L46" s="5"/>
      <c r="M46" s="5"/>
      <c r="N46" s="5"/>
      <c r="O46" s="35" t="str">
        <f>IF(Sheet1!A19&lt;&gt;"",Sheet1!A19,"")</f>
      </c>
      <c r="P46" s="35" t="str">
        <f>IF(Sheet1!B19&lt;&gt;"",Sheet1!B19,"")</f>
      </c>
      <c r="Q46" s="35" t="str">
        <f>IF(Sheet1!C19&lt;&gt;"",Sheet1!C19,"")</f>
      </c>
      <c r="R46" s="12"/>
      <c r="S46" s="12"/>
    </row>
    <row r="47" spans="2:22" ht="5.25" customHeight="1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8"/>
      <c r="Q47" s="12"/>
      <c r="R47" s="12"/>
      <c r="S47" s="12"/>
    </row>
    <row r="48" spans="2:22" x14ac:dyDescent="0.25">
      <c r="B48" s="67" t="s">
        <v>15</v>
      </c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22"/>
      <c r="S48" s="22"/>
    </row>
    <row r="49" spans="2:22" x14ac:dyDescent="0.25">
      <c r="B49" s="12"/>
      <c r="C49" s="12"/>
      <c r="D49" s="50" t="s">
        <v>75</v>
      </c>
      <c r="E49" s="50"/>
      <c r="F49" s="50"/>
      <c r="G49" s="50"/>
      <c r="H49" s="50"/>
      <c r="I49" s="50"/>
      <c r="J49" s="12"/>
      <c r="K49" s="50" t="s">
        <v>76</v>
      </c>
      <c r="L49" s="50"/>
      <c r="M49" s="50"/>
      <c r="N49" s="50"/>
      <c r="O49" s="12"/>
      <c r="P49" s="18"/>
      <c r="Q49" s="12"/>
      <c r="R49" s="12"/>
      <c r="S49" s="12"/>
    </row>
    <row r="50" spans="2:22" ht="8.25" customHeight="1" x14ac:dyDescent="0.25">
      <c r="B50" s="7"/>
      <c r="C50" s="7"/>
      <c r="D50" s="19"/>
      <c r="E50" s="19"/>
      <c r="F50" s="19"/>
      <c r="G50" s="19"/>
      <c r="H50" s="19"/>
      <c r="I50" s="19"/>
      <c r="J50" s="7"/>
      <c r="K50" s="19"/>
      <c r="L50" s="19"/>
      <c r="M50" s="19"/>
      <c r="N50" s="19"/>
      <c r="O50" s="7"/>
      <c r="P50" s="17"/>
      <c r="Q50" s="7"/>
      <c r="R50" s="12"/>
      <c r="S50" s="12"/>
    </row>
    <row r="51" spans="2:19" x14ac:dyDescent="0.25">
      <c r="B51" s="46" t="s">
        <v>16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 spans="2:19" ht="27" customHeight="1" x14ac:dyDescent="0.25">
      <c r="B52" s="5"/>
      <c r="C52" s="5"/>
      <c r="D52" s="49" t="s">
        <v>77</v>
      </c>
      <c r="E52" s="49"/>
      <c r="F52" s="49"/>
      <c r="G52" s="49"/>
      <c r="H52" s="49"/>
      <c r="I52" s="49"/>
      <c r="J52" s="5"/>
      <c r="K52" s="49" t="s">
        <v>135</v>
      </c>
      <c r="L52" s="49"/>
      <c r="M52" s="49"/>
      <c r="N52" s="49"/>
      <c r="O52" s="49"/>
      <c r="P52" s="14"/>
      <c r="Q52" s="5"/>
      <c r="R52" s="12"/>
      <c r="S52" s="12"/>
    </row>
    <row r="53" spans="2:19" x14ac:dyDescent="0.25">
      <c r="B53" s="12"/>
      <c r="C53" s="12"/>
      <c r="D53" s="50" t="s">
        <v>78</v>
      </c>
      <c r="E53" s="50"/>
      <c r="F53" s="50"/>
      <c r="G53" s="50"/>
      <c r="H53" s="50"/>
      <c r="I53" s="50"/>
      <c r="J53" s="12"/>
      <c r="K53" s="50" t="s">
        <v>79</v>
      </c>
      <c r="L53" s="50"/>
      <c r="M53" s="50" t="s">
        <v>80</v>
      </c>
      <c r="N53" s="50"/>
      <c r="O53" s="12"/>
      <c r="P53" s="18"/>
      <c r="Q53" s="12"/>
      <c r="R53" s="12"/>
      <c r="S53" s="12"/>
    </row>
    <row r="54" spans="2:19" ht="8.25" customHeight="1" x14ac:dyDescent="0.25">
      <c r="B54" s="7"/>
      <c r="C54" s="7"/>
      <c r="D54" s="19"/>
      <c r="E54" s="19"/>
      <c r="F54" s="19"/>
      <c r="G54" s="19"/>
      <c r="H54" s="19"/>
      <c r="I54" s="19"/>
      <c r="J54" s="7"/>
      <c r="K54" s="19"/>
      <c r="L54" s="19"/>
      <c r="M54" s="19"/>
      <c r="N54" s="19"/>
      <c r="O54" s="7"/>
      <c r="P54" s="17"/>
      <c r="Q54" s="7"/>
      <c r="R54" s="12"/>
      <c r="S54" s="12"/>
    </row>
    <row r="55" spans="2:19" x14ac:dyDescent="0.25">
      <c r="B55" s="46" t="s">
        <v>17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 spans="2:19" x14ac:dyDescent="0.25">
      <c r="B56" s="47">
        <v/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</row>
    <row r="57" spans="2:19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O57" s="5"/>
      <c r="P57" s="48"/>
      <c r="Q57" s="48"/>
      <c r="R57" s="27"/>
      <c r="S57" s="27"/>
    </row>
    <row r="58" spans="2:19" x14ac:dyDescent="0.25">
      <c r="B58" s="42" t="s">
        <v>21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O58" s="28"/>
      <c r="P58" s="28"/>
      <c r="Q58" s="28"/>
      <c r="R58" s="28"/>
      <c r="S58" s="28"/>
    </row>
    <row r="59" spans="2:19" x14ac:dyDescent="0.25">
      <c r="B59" s="42" t="s">
        <v>137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29"/>
      <c r="O59" s="29"/>
      <c r="P59" s="29"/>
      <c r="Q59" s="29"/>
      <c r="R59" s="29"/>
      <c r="S59" s="29"/>
    </row>
    <row r="60" spans="2:19" x14ac:dyDescent="0.25">
      <c r="B60" s="42" t="s">
        <v>138</v>
      </c>
      <c r="S60" s="25"/>
    </row>
    <row r="61" spans="1:19" ht="15" customHeight="1" x14ac:dyDescent="0.25">
      <c r="B61" s="43"/>
      <c r="C61" s="57" t="s">
        <v>144</v>
      </c>
      <c r="D61" s="57"/>
      <c r="E61" s="57"/>
      <c r="F61" s="57"/>
      <c r="G61" s="57"/>
      <c r="H61" s="57"/>
      <c r="I61" s="57"/>
      <c r="J61" s="57"/>
      <c r="K61" s="57"/>
      <c r="L61" s="57"/>
      <c r="M61" s="60" t="s">
        <v>65</v>
      </c>
      <c r="N61" s="60"/>
      <c r="O61" s="60"/>
      <c r="P61" s="60"/>
      <c r="Q61" s="61"/>
      <c r="S61" s="30"/>
    </row>
    <row r="62" spans="1:19" ht="15" customHeight="1" x14ac:dyDescent="0.25">
      <c r="B62" s="45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62"/>
      <c r="N62" s="62"/>
      <c r="O62" s="62"/>
      <c r="P62" s="62"/>
      <c r="Q62" s="63"/>
      <c r="S62" s="30"/>
    </row>
    <row r="63" spans="1:19" ht="15" customHeight="1" x14ac:dyDescent="0.25">
      <c r="B63" s="44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62"/>
      <c r="N63" s="62"/>
      <c r="O63" s="62"/>
      <c r="P63" s="62"/>
      <c r="Q63" s="63"/>
      <c r="S63" s="30"/>
    </row>
    <row r="64" spans="1:19" ht="15" customHeight="1" x14ac:dyDescent="0.25">
      <c r="B64" s="44">
        <v/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62"/>
      <c r="N64" s="62"/>
      <c r="O64" s="62"/>
      <c r="P64" s="62"/>
      <c r="Q64" s="63"/>
      <c r="R64" s="30"/>
      <c r="S64" s="30"/>
    </row>
    <row r="65" spans="1:19" ht="15" customHeight="1" x14ac:dyDescent="0.25">
      <c r="B65" s="39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62"/>
      <c r="N65" s="62"/>
      <c r="O65" s="62"/>
      <c r="P65" s="62"/>
      <c r="Q65" s="63"/>
      <c r="R65" s="30"/>
      <c r="S65" s="30"/>
    </row>
    <row r="66" spans="1:19" ht="28.5" customHeight="1" x14ac:dyDescent="0.25">
      <c r="B66" s="40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64"/>
      <c r="N66" s="64"/>
      <c r="O66" s="64"/>
      <c r="P66" s="64"/>
      <c r="Q66" s="65"/>
      <c r="R66" s="30"/>
      <c r="S66" s="30"/>
    </row>
    <row r="67" spans="1:19" ht="6.75" customHeight="1" x14ac:dyDescent="0.25"/>
    <row r="68" spans="1:19" ht="10.5" customHeight="1" x14ac:dyDescent="0.25">
      <c r="O68" s="66" t="s">
        <v>134</v>
      </c>
      <c r="P68" s="66"/>
      <c r="Q68" s="66"/>
      <c r="R68" s="31"/>
      <c r="S68" s="31"/>
    </row>
    <row r="69" spans="1:19" ht="12.75" customHeight="1" x14ac:dyDescent="0.25">
      <c r="B69" s="56" t="s">
        <v>161</v>
      </c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</row>
    <row r="70" spans="1:19" ht="14.25" customHeight="1" x14ac:dyDescent="0.25">
      <c r="B70" s="56" t="s">
        <v>162</v>
      </c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</row>
    <row r="71" spans="1:19" x14ac:dyDescent="0.25">
      <c r="B71" s="56" t="s">
        <v>130</v>
      </c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</row>
    <row r="72" spans="1:19" x14ac:dyDescent="0.25">
      <c r="B72" s="56" t="s">
        <v>132</v>
      </c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</row>
    <row r="73" spans="1:19" x14ac:dyDescent="0.25">
      <c r="B73" s="55" t="s">
        <v>133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32"/>
      <c r="S73" s="32"/>
    </row>
    <row r="74" spans="1:19" x14ac:dyDescent="0.25">
      <c r="B74" s="47" t="s">
        <v>67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21"/>
      <c r="S74" s="12"/>
    </row>
    <row r="75" spans="1:19" x14ac:dyDescent="0.25">
      <c r="B75" s="47" t="s">
        <v>68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21"/>
      <c r="S75" s="12"/>
    </row>
    <row r="76" spans="1:19" x14ac:dyDescent="0.25">
      <c r="B76" s="47" t="s">
        <v>136</v>
      </c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21"/>
      <c r="S76" s="12"/>
    </row>
    <row r="77" spans="2:22" x14ac:dyDescent="0.25">
      <c r="B77" s="53" t="s">
        <v>0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4"/>
      <c r="S77" s="12"/>
    </row>
    <row r="78" spans="2:22" x14ac:dyDescent="0.25">
      <c r="B78" s="6" t="s">
        <v>8</v>
      </c>
      <c r="C78" s="69" t="s">
        <v>9</v>
      </c>
      <c r="D78" s="69"/>
      <c r="E78" s="7"/>
      <c r="F78" s="69" t="s">
        <v>10</v>
      </c>
      <c r="G78" s="69"/>
      <c r="H78" s="69"/>
      <c r="I78" s="69"/>
      <c r="J78" s="8" t="s">
        <v>7</v>
      </c>
      <c r="K78" s="8" t="s">
        <v>6</v>
      </c>
      <c r="L78" s="8" t="s">
        <v>5</v>
      </c>
      <c r="M78" s="9" t="s">
        <v>4</v>
      </c>
      <c r="N78" s="8" t="s">
        <v>3</v>
      </c>
      <c r="O78" s="8" t="s">
        <v>2</v>
      </c>
      <c r="P78" s="8" t="s">
        <v>1</v>
      </c>
      <c r="Q78" s="20" t="s">
        <v>18</v>
      </c>
      <c r="R78" s="22"/>
      <c r="S78" s="22"/>
    </row>
    <row r="79" spans="2:22" ht="18.75" customHeight="1" x14ac:dyDescent="0.25">
      <c r="B79" s="10" t="s">
        <v>81</v>
      </c>
      <c r="C79" s="70" t="s">
        <v>122</v>
      </c>
      <c r="D79" s="70"/>
      <c r="E79" s="70"/>
      <c r="F79" s="71" t="s">
        <v>120</v>
      </c>
      <c r="G79" s="71"/>
      <c r="H79" s="71"/>
      <c r="I79" s="71"/>
      <c r="J79" s="11" t="s">
        <v>86</v>
      </c>
      <c r="K79" s="11" t="s">
        <v>87</v>
      </c>
      <c r="L79" s="37" t="s">
        <v>114</v>
      </c>
      <c r="M79" s="38" t="s">
        <v>121</v>
      </c>
      <c r="N79" s="11" t="s">
        <v>88</v>
      </c>
      <c r="O79" s="11" t="s">
        <v>88</v>
      </c>
      <c r="P79" s="38" t="s">
        <v>121</v>
      </c>
      <c r="Q79" s="37">
        <f>R79+S79</f>
      </c>
      <c r="R79" s="23">
        <v>129.96</v>
      </c>
      <c r="S79" s="23">
        <v>0</v>
      </c>
    </row>
    <row r="80" spans="2:22" ht="42.75" customHeight="1" x14ac:dyDescent="0.25">
      <c r="R80" s="26"/>
      <c r="S80" s="26"/>
    </row>
    <row r="81" spans="2:22" ht="18.75" customHeight="1" x14ac:dyDescent="0.25">
      <c r="B81" s="10" t="s">
        <v>90</v>
      </c>
      <c r="C81" s="70" t="s">
        <v>125</v>
      </c>
      <c r="D81" s="70"/>
      <c r="E81" s="70"/>
      <c r="F81" s="71" t="s">
        <v>124</v>
      </c>
      <c r="G81" s="71"/>
      <c r="H81" s="71"/>
      <c r="I81" s="71"/>
      <c r="J81" s="11" t="s">
        <v>86</v>
      </c>
      <c r="K81" s="11" t="s">
        <v>87</v>
      </c>
      <c r="L81" s="37" t="s">
        <v>114</v>
      </c>
      <c r="M81" s="38" t="s">
        <v>121</v>
      </c>
      <c r="N81" s="11" t="s">
        <v>88</v>
      </c>
      <c r="O81" s="11" t="s">
        <v>88</v>
      </c>
      <c r="P81" s="38" t="s">
        <v>121</v>
      </c>
      <c r="Q81" s="37">
        <f>R81+S81</f>
      </c>
      <c r="R81" s="23">
        <v>129.96</v>
      </c>
      <c r="S81" s="23">
        <v>0</v>
      </c>
    </row>
    <row r="82" spans="2:22" ht="42.75" customHeight="1" x14ac:dyDescent="0.25">
      <c r="R82" s="26"/>
      <c r="S82" s="26"/>
    </row>
    <row r="83" spans="2:22" ht="18.75" customHeight="1" x14ac:dyDescent="0.25">
      <c r="B83" s="10" t="s">
        <v>93</v>
      </c>
      <c r="C83" s="70" t="s">
        <v>155</v>
      </c>
      <c r="D83" s="70"/>
      <c r="E83" s="70"/>
      <c r="F83" s="71" t="s">
        <v>152</v>
      </c>
      <c r="G83" s="71"/>
      <c r="H83" s="71"/>
      <c r="I83" s="71"/>
      <c r="J83" s="11" t="s">
        <v>86</v>
      </c>
      <c r="K83" s="11" t="s">
        <v>87</v>
      </c>
      <c r="L83" s="37" t="s">
        <v>114</v>
      </c>
      <c r="M83" s="38" t="s">
        <v>153</v>
      </c>
      <c r="N83" s="11" t="s">
        <v>88</v>
      </c>
      <c r="O83" s="11" t="s">
        <v>88</v>
      </c>
      <c r="P83" s="38" t="s">
        <v>154</v>
      </c>
      <c r="Q83" s="37">
        <f>R83+S83</f>
      </c>
      <c r="R83" s="23">
        <v>212.4</v>
      </c>
      <c r="S83" s="23">
        <v>0</v>
      </c>
    </row>
    <row r="84" spans="2:22" ht="42.75" customHeight="1" x14ac:dyDescent="0.25">
      <c r="R84" s="26"/>
      <c r="S84" s="26"/>
    </row>
    <row r="85" spans="2:22" ht="18.75" customHeight="1" x14ac:dyDescent="0.25">
      <c r="B85" s="10" t="s">
        <v>96</v>
      </c>
      <c r="C85" s="70" t="s">
        <v>158</v>
      </c>
      <c r="D85" s="70"/>
      <c r="E85" s="70"/>
      <c r="F85" s="71" t="s">
        <v>156</v>
      </c>
      <c r="G85" s="71"/>
      <c r="H85" s="71"/>
      <c r="I85" s="71"/>
      <c r="J85" s="11" t="s">
        <v>86</v>
      </c>
      <c r="K85" s="11" t="s">
        <v>87</v>
      </c>
      <c r="L85" s="37" t="s">
        <v>114</v>
      </c>
      <c r="M85" s="38" t="s">
        <v>157</v>
      </c>
      <c r="N85" s="11" t="s">
        <v>88</v>
      </c>
      <c r="O85" s="11" t="s">
        <v>88</v>
      </c>
      <c r="P85" s="38" t="s">
        <v>157</v>
      </c>
      <c r="Q85" s="37">
        <f>R85+S85</f>
      </c>
      <c r="R85" s="23">
        <v>187.52</v>
      </c>
      <c r="S85" s="23">
        <v>0</v>
      </c>
    </row>
    <row r="86" spans="2:22" ht="42.75" customHeight="1" x14ac:dyDescent="0.25">
      <c r="R86" s="26"/>
      <c r="S86" s="26"/>
    </row>
    <row r="87" spans="2:22" x14ac:dyDescent="0.25">
      <c r="B87" s="53" t="s">
        <v>11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4"/>
      <c r="S87" s="12"/>
    </row>
    <row r="88" spans="2:22" ht="12.75" customHeight="1" x14ac:dyDescent="0.25">
      <c r="B88" s="13"/>
      <c r="C88" s="13"/>
      <c r="D88" s="51" t="s">
        <v>145</v>
      </c>
      <c r="E88" s="51"/>
      <c r="F88" s="51"/>
      <c r="G88" s="51"/>
      <c r="H88" s="51"/>
      <c r="I88" s="51"/>
      <c r="J88" s="51"/>
      <c r="K88" s="13"/>
      <c r="L88" s="13"/>
      <c r="M88" s="13"/>
      <c r="N88" s="5"/>
      <c r="O88" s="33" t="s">
        <v>14</v>
      </c>
      <c r="P88" s="33" t="s">
        <v>13</v>
      </c>
      <c r="Q88" s="33" t="s">
        <v>12</v>
      </c>
      <c r="R88" s="24"/>
      <c r="S88" s="12"/>
    </row>
    <row r="89" spans="2:22" ht="12" customHeight="1" x14ac:dyDescent="0.25">
      <c r="B89" s="13"/>
      <c r="C89" s="13"/>
      <c r="D89" s="51" t="s">
        <v>70</v>
      </c>
      <c r="E89" s="51"/>
      <c r="F89" s="51"/>
      <c r="G89" s="51"/>
      <c r="H89" s="51"/>
      <c r="I89" s="51"/>
      <c r="J89" s="51"/>
      <c r="K89" s="13"/>
      <c r="L89" s="13"/>
      <c r="M89" s="13"/>
      <c r="N89" s="5"/>
      <c r="O89" s="38" t="str">
        <f>IF(Sheet1!A2:A6&lt;&gt;"",Sheet1!A2:A6,"")</f>
      </c>
      <c r="P89" s="38" t="str">
        <f>IF(Sheet1!B2:B6&lt;&gt;"",Sheet1!B2:B6,"")</f>
      </c>
      <c r="Q89" s="38" t="str">
        <f>IF(Sheet1!C2:C6&lt;&gt;"",Sheet1!C2:C6,"")</f>
      </c>
      <c r="R89" s="24"/>
      <c r="S89" s="12"/>
    </row>
    <row r="90" spans="2:22" ht="11.25" customHeight="1" x14ac:dyDescent="0.25">
      <c r="B90" s="5"/>
      <c r="C90" s="5"/>
      <c r="D90" s="51" t="s">
        <v>71</v>
      </c>
      <c r="E90" s="51"/>
      <c r="F90" s="51"/>
      <c r="G90" s="51"/>
      <c r="H90" s="51"/>
      <c r="I90" s="51"/>
      <c r="J90" s="51"/>
      <c r="K90" s="5"/>
      <c r="L90" s="5"/>
      <c r="M90" s="5"/>
      <c r="N90" s="5"/>
      <c r="O90" s="38" t="str">
        <f>IF(Sheet1!A7:A11&lt;&gt;"",Sheet1!A7:A11,"")</f>
      </c>
      <c r="P90" s="38" t="str">
        <f>IF(Sheet1!B7:B11&lt;&gt;"",Sheet1!B7:B11,"")</f>
      </c>
      <c r="Q90" s="38" t="str">
        <f>IF(Sheet1!C7:C11&lt;&gt;"",Sheet1!C7:C11,"")</f>
      </c>
      <c r="R90" s="12"/>
      <c r="S90" s="12"/>
    </row>
    <row r="91" spans="2:22" ht="11.25" customHeight="1" x14ac:dyDescent="0.25">
      <c r="B91" s="5"/>
      <c r="C91" s="5"/>
      <c r="D91" s="51" t="s">
        <v>72</v>
      </c>
      <c r="E91" s="51"/>
      <c r="F91" s="51"/>
      <c r="G91" s="51"/>
      <c r="H91" s="51"/>
      <c r="I91" s="51"/>
      <c r="J91" s="51"/>
      <c r="K91" s="5"/>
      <c r="L91" s="5"/>
      <c r="M91" s="5"/>
      <c r="N91" s="5"/>
      <c r="O91" s="38" t="str">
        <f>IF(Sheet1!A12:A16&lt;&gt;"",Sheet1!A12:A16,"")</f>
      </c>
      <c r="P91" s="38" t="str">
        <f>IF(Sheet1!B12:B16&lt;&gt;"",Sheet1!B12:B16,"")</f>
      </c>
      <c r="Q91" s="38" t="str">
        <f>IF(Sheet1!C12:C16&lt;&gt;"",Sheet1!C12:C16,"")</f>
      </c>
      <c r="R91" s="12"/>
      <c r="S91" s="12"/>
    </row>
    <row r="92" spans="2:22" ht="11.25" customHeight="1" x14ac:dyDescent="0.25">
      <c r="B92" s="5"/>
      <c r="C92" s="5"/>
      <c r="D92" s="51" t="s">
        <v>73</v>
      </c>
      <c r="E92" s="51"/>
      <c r="F92" s="51"/>
      <c r="G92" s="51"/>
      <c r="H92" s="51"/>
      <c r="I92" s="51"/>
      <c r="J92" s="51"/>
      <c r="K92" s="5"/>
      <c r="L92" s="5"/>
      <c r="M92" s="5"/>
      <c r="N92" s="5"/>
      <c r="O92" s="38" t="str">
        <f>IF(Sheet1!A17&lt;&gt;"",Sheet1!A17,"")</f>
      </c>
      <c r="P92" s="38" t="str">
        <f>IF(Sheet1!B17&lt;&gt;"",Sheet1!B17,"")</f>
      </c>
      <c r="Q92" s="38" t="str">
        <f>IF(Sheet1!C17&lt;&gt;"",Sheet1!C17,"")</f>
      </c>
      <c r="R92" s="12"/>
      <c r="S92" s="12"/>
    </row>
    <row r="93" spans="2:22" ht="11.25" customHeight="1" x14ac:dyDescent="0.25">
      <c r="B93" s="5"/>
      <c r="C93" s="5"/>
      <c r="D93" s="52" t="s">
        <v>146</v>
      </c>
      <c r="E93" s="52"/>
      <c r="F93" s="52"/>
      <c r="G93" s="52"/>
      <c r="H93" s="52"/>
      <c r="I93" s="52"/>
      <c r="J93" s="52"/>
      <c r="K93" s="5"/>
      <c r="L93" s="5"/>
      <c r="M93" s="5"/>
      <c r="N93" s="5"/>
      <c r="O93" s="38" t="str">
        <f>IF(Sheet1!A18&lt;&gt;"",Sheet1!A18,"")</f>
      </c>
      <c r="P93" s="38" t="str">
        <f>IF(Sheet1!B18&lt;&gt;"",Sheet1!B18,"")</f>
      </c>
      <c r="Q93" s="38" t="str">
        <f>IF(Sheet1!C18&lt;&gt;"",Sheet1!C18,"")</f>
      </c>
      <c r="R93" s="12"/>
      <c r="S93" s="12"/>
    </row>
    <row r="94" spans="2:22" ht="11.25" customHeight="1" x14ac:dyDescent="0.25">
      <c r="B94" s="5"/>
      <c r="C94" s="5"/>
      <c r="D94" s="5"/>
      <c r="E94" s="5"/>
      <c r="F94" s="5"/>
      <c r="G94" s="5"/>
      <c r="H94" s="15"/>
      <c r="I94" s="16"/>
      <c r="J94" s="16"/>
      <c r="K94" s="5"/>
      <c r="L94" s="5"/>
      <c r="M94" s="5"/>
      <c r="N94" s="5"/>
      <c r="O94" s="35" t="str">
        <f>IF(Sheet1!A19&lt;&gt;"",Sheet1!A19,"")</f>
      </c>
      <c r="P94" s="35" t="str">
        <f>IF(Sheet1!B19&lt;&gt;"",Sheet1!B19,"")</f>
      </c>
      <c r="Q94" s="35" t="str">
        <f>IF(Sheet1!C19&lt;&gt;"",Sheet1!C19,"")</f>
      </c>
      <c r="R94" s="12"/>
      <c r="S94" s="12"/>
    </row>
    <row r="95" spans="2:22" ht="5.25" customHeight="1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8"/>
      <c r="Q95" s="12"/>
      <c r="R95" s="12"/>
      <c r="S95" s="12"/>
    </row>
    <row r="96" spans="2:22" x14ac:dyDescent="0.25">
      <c r="B96" s="67" t="s">
        <v>15</v>
      </c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22"/>
      <c r="S96" s="22"/>
    </row>
    <row r="97" spans="2:22" x14ac:dyDescent="0.25">
      <c r="B97" s="12"/>
      <c r="C97" s="12"/>
      <c r="D97" s="50" t="s">
        <v>75</v>
      </c>
      <c r="E97" s="50"/>
      <c r="F97" s="50"/>
      <c r="G97" s="50"/>
      <c r="H97" s="50"/>
      <c r="I97" s="50"/>
      <c r="J97" s="12"/>
      <c r="K97" s="50" t="s">
        <v>147</v>
      </c>
      <c r="L97" s="50"/>
      <c r="M97" s="50"/>
      <c r="N97" s="50"/>
      <c r="O97" s="12"/>
      <c r="P97" s="18"/>
      <c r="Q97" s="12"/>
      <c r="R97" s="12"/>
      <c r="S97" s="12"/>
    </row>
    <row r="98" spans="2:22" ht="8.25" customHeight="1" x14ac:dyDescent="0.25">
      <c r="B98" s="7"/>
      <c r="C98" s="7"/>
      <c r="D98" s="19"/>
      <c r="E98" s="19"/>
      <c r="F98" s="19"/>
      <c r="G98" s="19"/>
      <c r="H98" s="19"/>
      <c r="I98" s="19"/>
      <c r="J98" s="7"/>
      <c r="K98" s="19"/>
      <c r="L98" s="19"/>
      <c r="M98" s="19"/>
      <c r="N98" s="19"/>
      <c r="O98" s="7"/>
      <c r="P98" s="17"/>
      <c r="Q98" s="7"/>
      <c r="R98" s="12"/>
      <c r="S98" s="12"/>
    </row>
    <row r="99" spans="2:19" x14ac:dyDescent="0.25">
      <c r="B99" s="46" t="s">
        <v>16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</row>
    <row r="100" spans="2:19" ht="27" customHeight="1" x14ac:dyDescent="0.25">
      <c r="B100" s="5"/>
      <c r="C100" s="5"/>
      <c r="D100" s="49" t="s">
        <v>77</v>
      </c>
      <c r="E100" s="49"/>
      <c r="F100" s="49"/>
      <c r="G100" s="49"/>
      <c r="H100" s="49"/>
      <c r="I100" s="49"/>
      <c r="J100" s="5"/>
      <c r="K100" s="49" t="s">
        <v>135</v>
      </c>
      <c r="L100" s="49"/>
      <c r="M100" s="49"/>
      <c r="N100" s="49"/>
      <c r="O100" s="49"/>
      <c r="P100" s="14"/>
      <c r="Q100" s="5"/>
      <c r="R100" s="12"/>
      <c r="S100" s="12"/>
    </row>
    <row r="101" spans="2:19" x14ac:dyDescent="0.25">
      <c r="B101" s="12"/>
      <c r="C101" s="12"/>
      <c r="D101" s="50" t="s">
        <v>148</v>
      </c>
      <c r="E101" s="50"/>
      <c r="F101" s="50"/>
      <c r="G101" s="50"/>
      <c r="H101" s="50"/>
      <c r="I101" s="50"/>
      <c r="J101" s="12"/>
      <c r="K101" s="50" t="s">
        <v>149</v>
      </c>
      <c r="L101" s="50"/>
      <c r="M101" s="50" t="s">
        <v>150</v>
      </c>
      <c r="N101" s="50"/>
      <c r="O101" s="12"/>
      <c r="P101" s="18"/>
      <c r="Q101" s="12"/>
      <c r="R101" s="12"/>
      <c r="S101" s="12"/>
    </row>
    <row r="102" spans="2:19" ht="8.25" customHeight="1" x14ac:dyDescent="0.25">
      <c r="B102" s="7"/>
      <c r="C102" s="7"/>
      <c r="D102" s="19"/>
      <c r="E102" s="19"/>
      <c r="F102" s="19"/>
      <c r="G102" s="19"/>
      <c r="H102" s="19"/>
      <c r="I102" s="19"/>
      <c r="J102" s="7"/>
      <c r="K102" s="19"/>
      <c r="L102" s="19"/>
      <c r="M102" s="19"/>
      <c r="N102" s="19"/>
      <c r="O102" s="7"/>
      <c r="P102" s="17"/>
      <c r="Q102" s="7"/>
      <c r="R102" s="12"/>
      <c r="S102" s="12"/>
    </row>
    <row r="103" spans="2:19" x14ac:dyDescent="0.25">
      <c r="B103" s="46" t="s">
        <v>17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</row>
    <row r="104" spans="2:19" x14ac:dyDescent="0.25">
      <c r="B104" s="47" t="s">
        <v>151</v>
      </c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</row>
    <row r="105" spans="2:19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O105" s="5"/>
      <c r="P105" s="48"/>
      <c r="Q105" s="48"/>
      <c r="R105" s="27"/>
      <c r="S105" s="27"/>
    </row>
    <row r="106" spans="2:19" x14ac:dyDescent="0.25">
      <c r="B106" s="42" t="s">
        <v>21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O106" s="28"/>
      <c r="P106" s="28"/>
      <c r="Q106" s="28"/>
      <c r="R106" s="28"/>
      <c r="S106" s="28"/>
    </row>
    <row r="107" spans="2:19" x14ac:dyDescent="0.25">
      <c r="B107" s="42" t="s">
        <v>137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9"/>
      <c r="O107" s="29"/>
      <c r="P107" s="29"/>
      <c r="Q107" s="29"/>
      <c r="R107" s="29"/>
      <c r="S107" s="29"/>
    </row>
    <row r="108" spans="2:19" x14ac:dyDescent="0.25">
      <c r="B108" s="42" t="s">
        <v>138</v>
      </c>
      <c r="S108" s="25"/>
    </row>
    <row r="109" spans="1:19" ht="15" customHeight="1" x14ac:dyDescent="0.25">
      <c r="B109" s="43"/>
      <c r="C109" s="57" t="s">
        <v>163</v>
      </c>
      <c r="D109" s="57"/>
      <c r="E109" s="57"/>
      <c r="F109" s="57"/>
      <c r="G109" s="57"/>
      <c r="H109" s="57"/>
      <c r="I109" s="57"/>
      <c r="J109" s="57"/>
      <c r="K109" s="57"/>
      <c r="L109" s="57"/>
      <c r="M109" s="60" t="s">
        <v>65</v>
      </c>
      <c r="N109" s="60"/>
      <c r="O109" s="60"/>
      <c r="P109" s="60"/>
      <c r="Q109" s="61"/>
      <c r="S109" s="30"/>
    </row>
    <row r="110" spans="1:19" ht="15" customHeight="1" x14ac:dyDescent="0.25">
      <c r="B110" s="45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62"/>
      <c r="N110" s="62"/>
      <c r="O110" s="62"/>
      <c r="P110" s="62"/>
      <c r="Q110" s="63"/>
      <c r="S110" s="30"/>
    </row>
    <row r="111" spans="1:19" ht="15" customHeight="1" x14ac:dyDescent="0.25">
      <c r="B111" s="44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62"/>
      <c r="N111" s="62"/>
      <c r="O111" s="62"/>
      <c r="P111" s="62"/>
      <c r="Q111" s="63"/>
      <c r="S111" s="30"/>
    </row>
    <row r="112" spans="1:19" ht="15" customHeight="1" x14ac:dyDescent="0.25">
      <c r="B112" s="44">
        <v/>
      </c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62"/>
      <c r="N112" s="62"/>
      <c r="O112" s="62"/>
      <c r="P112" s="62"/>
      <c r="Q112" s="63"/>
      <c r="R112" s="30"/>
      <c r="S112" s="30"/>
    </row>
    <row r="113" spans="1:19" ht="15" customHeight="1" x14ac:dyDescent="0.25">
      <c r="B113" s="39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62"/>
      <c r="N113" s="62"/>
      <c r="O113" s="62"/>
      <c r="P113" s="62"/>
      <c r="Q113" s="63"/>
      <c r="R113" s="30"/>
      <c r="S113" s="30"/>
    </row>
    <row r="114" spans="1:19" ht="28.5" customHeight="1" x14ac:dyDescent="0.25">
      <c r="B114" s="4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64"/>
      <c r="N114" s="64"/>
      <c r="O114" s="64"/>
      <c r="P114" s="64"/>
      <c r="Q114" s="65"/>
      <c r="R114" s="30"/>
      <c r="S114" s="30"/>
    </row>
    <row r="115" spans="1:19" ht="6.75" customHeight="1" x14ac:dyDescent="0.25"/>
    <row r="116" spans="1:19" ht="10.5" customHeight="1" x14ac:dyDescent="0.25">
      <c r="O116" s="66" t="s">
        <v>185</v>
      </c>
      <c r="P116" s="66"/>
      <c r="Q116" s="66"/>
      <c r="R116" s="31"/>
      <c r="S116" s="31"/>
    </row>
    <row r="117" spans="1:19" ht="12.75" customHeight="1" x14ac:dyDescent="0.25">
      <c r="B117" s="56" t="s">
        <v>183</v>
      </c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</row>
    <row r="118" spans="1:19" ht="14.25" customHeight="1" x14ac:dyDescent="0.25">
      <c r="B118" s="56" t="s">
        <v>184</v>
      </c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</row>
    <row r="119" spans="1:19" x14ac:dyDescent="0.25">
      <c r="B119" s="56" t="s">
        <v>130</v>
      </c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</row>
    <row r="120" spans="1:19" x14ac:dyDescent="0.25">
      <c r="B120" s="56" t="s">
        <v>132</v>
      </c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</row>
    <row r="121" spans="1:19" x14ac:dyDescent="0.25">
      <c r="B121" s="55" t="s">
        <v>133</v>
      </c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32"/>
      <c r="S121" s="32"/>
    </row>
    <row r="122" spans="1:19" x14ac:dyDescent="0.25">
      <c r="B122" s="47" t="s">
        <v>67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21"/>
      <c r="S122" s="12"/>
    </row>
    <row r="123" spans="1:19" x14ac:dyDescent="0.25">
      <c r="B123" s="47" t="s">
        <v>68</v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21"/>
      <c r="S123" s="12"/>
    </row>
    <row r="124" spans="1:19" x14ac:dyDescent="0.25">
      <c r="B124" s="47" t="s">
        <v>136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21"/>
      <c r="S124" s="12"/>
    </row>
    <row r="125" spans="2:22" x14ac:dyDescent="0.25">
      <c r="B125" s="53" t="s">
        <v>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4"/>
      <c r="S125" s="12"/>
    </row>
    <row r="126" spans="2:22" x14ac:dyDescent="0.25">
      <c r="B126" s="6" t="s">
        <v>8</v>
      </c>
      <c r="C126" s="69" t="s">
        <v>9</v>
      </c>
      <c r="D126" s="69"/>
      <c r="E126" s="7"/>
      <c r="F126" s="69" t="s">
        <v>10</v>
      </c>
      <c r="G126" s="69"/>
      <c r="H126" s="69"/>
      <c r="I126" s="69"/>
      <c r="J126" s="8" t="s">
        <v>7</v>
      </c>
      <c r="K126" s="8" t="s">
        <v>6</v>
      </c>
      <c r="L126" s="8" t="s">
        <v>5</v>
      </c>
      <c r="M126" s="9" t="s">
        <v>4</v>
      </c>
      <c r="N126" s="8" t="s">
        <v>3</v>
      </c>
      <c r="O126" s="8" t="s">
        <v>2</v>
      </c>
      <c r="P126" s="8" t="s">
        <v>1</v>
      </c>
      <c r="Q126" s="20" t="s">
        <v>18</v>
      </c>
      <c r="R126" s="22"/>
      <c r="S126" s="22"/>
    </row>
    <row r="127" spans="2:22" ht="18.75" customHeight="1" x14ac:dyDescent="0.25">
      <c r="B127" s="10" t="s">
        <v>81</v>
      </c>
      <c r="C127" s="70" t="s">
        <v>171</v>
      </c>
      <c r="D127" s="70"/>
      <c r="E127" s="70"/>
      <c r="F127" s="71" t="s">
        <v>170</v>
      </c>
      <c r="G127" s="71"/>
      <c r="H127" s="71"/>
      <c r="I127" s="71"/>
      <c r="J127" s="11" t="s">
        <v>86</v>
      </c>
      <c r="K127" s="11" t="s">
        <v>87</v>
      </c>
      <c r="L127" s="37" t="s">
        <v>114</v>
      </c>
      <c r="M127" s="38" t="s">
        <v>153</v>
      </c>
      <c r="N127" s="11" t="s">
        <v>88</v>
      </c>
      <c r="O127" s="11" t="s">
        <v>88</v>
      </c>
      <c r="P127" s="38" t="s">
        <v>154</v>
      </c>
      <c r="Q127" s="37">
        <f>R127+S127</f>
      </c>
      <c r="R127" s="23">
        <v>212.4</v>
      </c>
      <c r="S127" s="23">
        <v>0</v>
      </c>
    </row>
    <row r="128" spans="2:22" ht="42.75" customHeight="1" x14ac:dyDescent="0.25">
      <c r="R128" s="26"/>
      <c r="S128" s="26"/>
    </row>
    <row r="129" spans="2:22" ht="18.75" customHeight="1" x14ac:dyDescent="0.25">
      <c r="B129" s="10" t="s">
        <v>90</v>
      </c>
      <c r="C129" s="70" t="s">
        <v>174</v>
      </c>
      <c r="D129" s="70"/>
      <c r="E129" s="70"/>
      <c r="F129" s="71" t="s">
        <v>172</v>
      </c>
      <c r="G129" s="71"/>
      <c r="H129" s="71"/>
      <c r="I129" s="71"/>
      <c r="J129" s="11" t="s">
        <v>86</v>
      </c>
      <c r="K129" s="11" t="s">
        <v>87</v>
      </c>
      <c r="L129" s="37" t="s">
        <v>114</v>
      </c>
      <c r="M129" s="38" t="s">
        <v>173</v>
      </c>
      <c r="N129" s="11" t="s">
        <v>88</v>
      </c>
      <c r="O129" s="11" t="s">
        <v>88</v>
      </c>
      <c r="P129" s="38" t="s">
        <v>173</v>
      </c>
      <c r="Q129" s="37">
        <f>R129+S129</f>
      </c>
      <c r="R129" s="23">
        <v>99.28</v>
      </c>
      <c r="S129" s="23">
        <v>0</v>
      </c>
    </row>
    <row r="130" spans="2:22" ht="42.75" customHeight="1" x14ac:dyDescent="0.25">
      <c r="R130" s="26"/>
      <c r="S130" s="26"/>
    </row>
    <row r="131" spans="2:22" ht="18.75" customHeight="1" x14ac:dyDescent="0.25">
      <c r="B131" s="10" t="s">
        <v>93</v>
      </c>
      <c r="C131" s="70" t="s">
        <v>122</v>
      </c>
      <c r="D131" s="70"/>
      <c r="E131" s="70"/>
      <c r="F131" s="71" t="s">
        <v>120</v>
      </c>
      <c r="G131" s="71"/>
      <c r="H131" s="71"/>
      <c r="I131" s="71"/>
      <c r="J131" s="11" t="s">
        <v>86</v>
      </c>
      <c r="K131" s="11" t="s">
        <v>87</v>
      </c>
      <c r="L131" s="37" t="s">
        <v>114</v>
      </c>
      <c r="M131" s="38" t="s">
        <v>121</v>
      </c>
      <c r="N131" s="11" t="s">
        <v>88</v>
      </c>
      <c r="O131" s="11" t="s">
        <v>88</v>
      </c>
      <c r="P131" s="38" t="s">
        <v>121</v>
      </c>
      <c r="Q131" s="37">
        <f>R131+S131</f>
      </c>
      <c r="R131" s="23">
        <v>129.96</v>
      </c>
      <c r="S131" s="23">
        <v>0</v>
      </c>
    </row>
    <row r="132" spans="2:22" ht="42.75" customHeight="1" x14ac:dyDescent="0.25">
      <c r="R132" s="26"/>
      <c r="S132" s="26"/>
    </row>
    <row r="133" spans="2:22" ht="18.75" customHeight="1" x14ac:dyDescent="0.25">
      <c r="B133" s="10" t="s">
        <v>96</v>
      </c>
      <c r="C133" s="70" t="s">
        <v>177</v>
      </c>
      <c r="D133" s="70"/>
      <c r="E133" s="70"/>
      <c r="F133" s="71" t="s">
        <v>175</v>
      </c>
      <c r="G133" s="71"/>
      <c r="H133" s="71"/>
      <c r="I133" s="71"/>
      <c r="J133" s="11" t="s">
        <v>86</v>
      </c>
      <c r="K133" s="11" t="s">
        <v>87</v>
      </c>
      <c r="L133" s="37" t="s">
        <v>114</v>
      </c>
      <c r="M133" s="38" t="s">
        <v>176</v>
      </c>
      <c r="N133" s="11" t="s">
        <v>88</v>
      </c>
      <c r="O133" s="11" t="s">
        <v>88</v>
      </c>
      <c r="P133" s="38" t="s">
        <v>176</v>
      </c>
      <c r="Q133" s="37">
        <f>R133+S133</f>
      </c>
      <c r="R133" s="23">
        <v>183.44</v>
      </c>
      <c r="S133" s="23">
        <v>0</v>
      </c>
    </row>
    <row r="134" spans="2:22" ht="42.75" customHeight="1" x14ac:dyDescent="0.25">
      <c r="R134" s="26"/>
      <c r="S134" s="26"/>
    </row>
    <row r="135" spans="2:22" ht="18.75" customHeight="1" x14ac:dyDescent="0.25">
      <c r="B135" s="10" t="s">
        <v>99</v>
      </c>
      <c r="C135" s="70" t="s">
        <v>180</v>
      </c>
      <c r="D135" s="70"/>
      <c r="E135" s="70"/>
      <c r="F135" s="71" t="s">
        <v>178</v>
      </c>
      <c r="G135" s="71"/>
      <c r="H135" s="71"/>
      <c r="I135" s="71"/>
      <c r="J135" s="11" t="s">
        <v>86</v>
      </c>
      <c r="K135" s="11" t="s">
        <v>87</v>
      </c>
      <c r="L135" s="37" t="s">
        <v>114</v>
      </c>
      <c r="M135" s="38" t="s">
        <v>179</v>
      </c>
      <c r="N135" s="11" t="s">
        <v>88</v>
      </c>
      <c r="O135" s="11" t="s">
        <v>88</v>
      </c>
      <c r="P135" s="38" t="s">
        <v>179</v>
      </c>
      <c r="Q135" s="37">
        <f>R135+S135</f>
      </c>
      <c r="R135" s="23">
        <v>125.91</v>
      </c>
      <c r="S135" s="23">
        <v>0</v>
      </c>
    </row>
    <row r="136" spans="2:22" ht="42.75" customHeight="1" x14ac:dyDescent="0.25">
      <c r="R136" s="26"/>
      <c r="S136" s="26"/>
    </row>
    <row r="137" spans="2:22" x14ac:dyDescent="0.25">
      <c r="B137" s="53" t="s">
        <v>11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4"/>
      <c r="S137" s="12"/>
    </row>
    <row r="138" spans="2:22" ht="12.75" customHeight="1" x14ac:dyDescent="0.25">
      <c r="B138" s="13"/>
      <c r="C138" s="13"/>
      <c r="D138" s="51" t="s">
        <v>164</v>
      </c>
      <c r="E138" s="51"/>
      <c r="F138" s="51"/>
      <c r="G138" s="51"/>
      <c r="H138" s="51"/>
      <c r="I138" s="51"/>
      <c r="J138" s="51"/>
      <c r="K138" s="13"/>
      <c r="L138" s="13"/>
      <c r="M138" s="13"/>
      <c r="N138" s="5"/>
      <c r="O138" s="33" t="s">
        <v>14</v>
      </c>
      <c r="P138" s="33" t="s">
        <v>13</v>
      </c>
      <c r="Q138" s="33" t="s">
        <v>12</v>
      </c>
      <c r="R138" s="24"/>
      <c r="S138" s="12"/>
    </row>
    <row r="139" spans="2:22" ht="12" customHeight="1" x14ac:dyDescent="0.25">
      <c r="B139" s="13"/>
      <c r="C139" s="13"/>
      <c r="D139" s="51" t="s">
        <v>70</v>
      </c>
      <c r="E139" s="51"/>
      <c r="F139" s="51"/>
      <c r="G139" s="51"/>
      <c r="H139" s="51"/>
      <c r="I139" s="51"/>
      <c r="J139" s="51"/>
      <c r="K139" s="13"/>
      <c r="L139" s="13"/>
      <c r="M139" s="13"/>
      <c r="N139" s="5"/>
      <c r="O139" s="38" t="str">
        <f>IF(Sheet1!A2:A6&lt;&gt;"",Sheet1!A2:A6,"")</f>
      </c>
      <c r="P139" s="38" t="str">
        <f>IF(Sheet1!B2:B6&lt;&gt;"",Sheet1!B2:B6,"")</f>
      </c>
      <c r="Q139" s="38" t="str">
        <f>IF(Sheet1!C2:C6&lt;&gt;"",Sheet1!C2:C6,"")</f>
      </c>
      <c r="R139" s="24"/>
      <c r="S139" s="12"/>
    </row>
    <row r="140" spans="2:22" ht="11.25" customHeight="1" x14ac:dyDescent="0.25">
      <c r="B140" s="5"/>
      <c r="C140" s="5"/>
      <c r="D140" s="51" t="s">
        <v>71</v>
      </c>
      <c r="E140" s="51"/>
      <c r="F140" s="51"/>
      <c r="G140" s="51"/>
      <c r="H140" s="51"/>
      <c r="I140" s="51"/>
      <c r="J140" s="51"/>
      <c r="K140" s="5"/>
      <c r="L140" s="5"/>
      <c r="M140" s="5"/>
      <c r="N140" s="5"/>
      <c r="O140" s="38" t="str">
        <f>IF(Sheet1!A7:A11&lt;&gt;"",Sheet1!A7:A11,"")</f>
      </c>
      <c r="P140" s="38" t="str">
        <f>IF(Sheet1!B7:B11&lt;&gt;"",Sheet1!B7:B11,"")</f>
      </c>
      <c r="Q140" s="38" t="str">
        <f>IF(Sheet1!C7:C11&lt;&gt;"",Sheet1!C7:C11,"")</f>
      </c>
      <c r="R140" s="12"/>
      <c r="S140" s="12"/>
    </row>
    <row r="141" spans="2:22" ht="11.25" customHeight="1" x14ac:dyDescent="0.25">
      <c r="B141" s="5"/>
      <c r="C141" s="5"/>
      <c r="D141" s="51" t="s">
        <v>72</v>
      </c>
      <c r="E141" s="51"/>
      <c r="F141" s="51"/>
      <c r="G141" s="51"/>
      <c r="H141" s="51"/>
      <c r="I141" s="51"/>
      <c r="J141" s="51"/>
      <c r="K141" s="5"/>
      <c r="L141" s="5"/>
      <c r="M141" s="5"/>
      <c r="N141" s="5"/>
      <c r="O141" s="38" t="str">
        <f>IF(Sheet1!A12:A16&lt;&gt;"",Sheet1!A12:A16,"")</f>
      </c>
      <c r="P141" s="38" t="str">
        <f>IF(Sheet1!B12:B16&lt;&gt;"",Sheet1!B12:B16,"")</f>
      </c>
      <c r="Q141" s="38" t="str">
        <f>IF(Sheet1!C12:C16&lt;&gt;"",Sheet1!C12:C16,"")</f>
      </c>
      <c r="R141" s="12"/>
      <c r="S141" s="12"/>
    </row>
    <row r="142" spans="2:22" ht="11.25" customHeight="1" x14ac:dyDescent="0.25">
      <c r="B142" s="5"/>
      <c r="C142" s="5"/>
      <c r="D142" s="51" t="s">
        <v>73</v>
      </c>
      <c r="E142" s="51"/>
      <c r="F142" s="51"/>
      <c r="G142" s="51"/>
      <c r="H142" s="51"/>
      <c r="I142" s="51"/>
      <c r="J142" s="51"/>
      <c r="K142" s="5"/>
      <c r="L142" s="5"/>
      <c r="M142" s="5"/>
      <c r="N142" s="5"/>
      <c r="O142" s="38" t="str">
        <f>IF(Sheet1!A17&lt;&gt;"",Sheet1!A17,"")</f>
      </c>
      <c r="P142" s="38" t="str">
        <f>IF(Sheet1!B17&lt;&gt;"",Sheet1!B17,"")</f>
      </c>
      <c r="Q142" s="38" t="str">
        <f>IF(Sheet1!C17&lt;&gt;"",Sheet1!C17,"")</f>
      </c>
      <c r="R142" s="12"/>
      <c r="S142" s="12"/>
    </row>
    <row r="143" spans="2:22" ht="11.25" customHeight="1" x14ac:dyDescent="0.25">
      <c r="B143" s="5"/>
      <c r="C143" s="5"/>
      <c r="D143" s="52" t="s">
        <v>165</v>
      </c>
      <c r="E143" s="52"/>
      <c r="F143" s="52"/>
      <c r="G143" s="52"/>
      <c r="H143" s="52"/>
      <c r="I143" s="52"/>
      <c r="J143" s="52"/>
      <c r="K143" s="5"/>
      <c r="L143" s="5"/>
      <c r="M143" s="5"/>
      <c r="N143" s="5"/>
      <c r="O143" s="38" t="str">
        <f>IF(Sheet1!A18&lt;&gt;"",Sheet1!A18,"")</f>
      </c>
      <c r="P143" s="38" t="str">
        <f>IF(Sheet1!B18&lt;&gt;"",Sheet1!B18,"")</f>
      </c>
      <c r="Q143" s="38" t="str">
        <f>IF(Sheet1!C18&lt;&gt;"",Sheet1!C18,"")</f>
      </c>
      <c r="R143" s="12"/>
      <c r="S143" s="12"/>
    </row>
    <row r="144" spans="2:22" ht="11.25" customHeight="1" x14ac:dyDescent="0.25">
      <c r="B144" s="5"/>
      <c r="C144" s="5"/>
      <c r="D144" s="5"/>
      <c r="E144" s="5"/>
      <c r="F144" s="5"/>
      <c r="G144" s="5"/>
      <c r="H144" s="15"/>
      <c r="I144" s="16"/>
      <c r="J144" s="16"/>
      <c r="K144" s="5"/>
      <c r="L144" s="5"/>
      <c r="M144" s="5"/>
      <c r="N144" s="5"/>
      <c r="O144" s="35" t="str">
        <f>IF(Sheet1!A19&lt;&gt;"",Sheet1!A19,"")</f>
      </c>
      <c r="P144" s="35" t="str">
        <f>IF(Sheet1!B19&lt;&gt;"",Sheet1!B19,"")</f>
      </c>
      <c r="Q144" s="35" t="str">
        <f>IF(Sheet1!C19&lt;&gt;"",Sheet1!C19,"")</f>
      </c>
      <c r="R144" s="12"/>
      <c r="S144" s="12"/>
    </row>
    <row r="145" spans="2:22" ht="5.25" customHeight="1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8"/>
      <c r="Q145" s="12"/>
      <c r="R145" s="12"/>
      <c r="S145" s="12"/>
    </row>
    <row r="146" spans="2:22" x14ac:dyDescent="0.25">
      <c r="B146" s="67" t="s">
        <v>15</v>
      </c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22"/>
      <c r="S146" s="22"/>
    </row>
    <row r="147" spans="2:22" x14ac:dyDescent="0.25">
      <c r="B147" s="12"/>
      <c r="C147" s="12"/>
      <c r="D147" s="50" t="s">
        <v>75</v>
      </c>
      <c r="E147" s="50"/>
      <c r="F147" s="50"/>
      <c r="G147" s="50"/>
      <c r="H147" s="50"/>
      <c r="I147" s="50"/>
      <c r="J147" s="12"/>
      <c r="K147" s="50" t="s">
        <v>166</v>
      </c>
      <c r="L147" s="50"/>
      <c r="M147" s="50"/>
      <c r="N147" s="50"/>
      <c r="O147" s="12"/>
      <c r="P147" s="18"/>
      <c r="Q147" s="12"/>
      <c r="R147" s="12"/>
      <c r="S147" s="12"/>
    </row>
    <row r="148" spans="2:22" ht="8.25" customHeight="1" x14ac:dyDescent="0.25">
      <c r="B148" s="7"/>
      <c r="C148" s="7"/>
      <c r="D148" s="19"/>
      <c r="E148" s="19"/>
      <c r="F148" s="19"/>
      <c r="G148" s="19"/>
      <c r="H148" s="19"/>
      <c r="I148" s="19"/>
      <c r="J148" s="7"/>
      <c r="K148" s="19"/>
      <c r="L148" s="19"/>
      <c r="M148" s="19"/>
      <c r="N148" s="19"/>
      <c r="O148" s="7"/>
      <c r="P148" s="17"/>
      <c r="Q148" s="7"/>
      <c r="R148" s="12"/>
      <c r="S148" s="12"/>
    </row>
    <row r="149" spans="2:19" x14ac:dyDescent="0.25">
      <c r="B149" s="46" t="s">
        <v>16</v>
      </c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</row>
    <row r="150" spans="2:19" ht="27" customHeight="1" x14ac:dyDescent="0.25">
      <c r="B150" s="5"/>
      <c r="C150" s="5"/>
      <c r="D150" s="49" t="s">
        <v>77</v>
      </c>
      <c r="E150" s="49"/>
      <c r="F150" s="49"/>
      <c r="G150" s="49"/>
      <c r="H150" s="49"/>
      <c r="I150" s="49"/>
      <c r="J150" s="5"/>
      <c r="K150" s="49" t="s">
        <v>135</v>
      </c>
      <c r="L150" s="49"/>
      <c r="M150" s="49"/>
      <c r="N150" s="49"/>
      <c r="O150" s="49"/>
      <c r="P150" s="14"/>
      <c r="Q150" s="5"/>
      <c r="R150" s="12"/>
      <c r="S150" s="12"/>
    </row>
    <row r="151" spans="2:19" x14ac:dyDescent="0.25">
      <c r="B151" s="12"/>
      <c r="C151" s="12"/>
      <c r="D151" s="50" t="s">
        <v>167</v>
      </c>
      <c r="E151" s="50"/>
      <c r="F151" s="50"/>
      <c r="G151" s="50"/>
      <c r="H151" s="50"/>
      <c r="I151" s="50"/>
      <c r="J151" s="12"/>
      <c r="K151" s="50" t="s">
        <v>168</v>
      </c>
      <c r="L151" s="50"/>
      <c r="M151" s="50" t="s">
        <v>169</v>
      </c>
      <c r="N151" s="50"/>
      <c r="O151" s="12"/>
      <c r="P151" s="18"/>
      <c r="Q151" s="12"/>
      <c r="R151" s="12"/>
      <c r="S151" s="12"/>
    </row>
    <row r="152" spans="2:19" ht="8.25" customHeight="1" x14ac:dyDescent="0.25">
      <c r="B152" s="7"/>
      <c r="C152" s="7"/>
      <c r="D152" s="19"/>
      <c r="E152" s="19"/>
      <c r="F152" s="19"/>
      <c r="G152" s="19"/>
      <c r="H152" s="19"/>
      <c r="I152" s="19"/>
      <c r="J152" s="7"/>
      <c r="K152" s="19"/>
      <c r="L152" s="19"/>
      <c r="M152" s="19"/>
      <c r="N152" s="19"/>
      <c r="O152" s="7"/>
      <c r="P152" s="17"/>
      <c r="Q152" s="7"/>
      <c r="R152" s="12"/>
      <c r="S152" s="12"/>
    </row>
    <row r="153" spans="2:19" x14ac:dyDescent="0.25">
      <c r="B153" s="46" t="s">
        <v>17</v>
      </c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</row>
    <row r="154" spans="2:19" x14ac:dyDescent="0.25">
      <c r="B154" s="47">
        <v/>
      </c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</row>
    <row r="155" spans="2:19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O155" s="5"/>
      <c r="P155" s="48"/>
      <c r="Q155" s="48"/>
      <c r="R155" s="27"/>
      <c r="S155" s="27"/>
    </row>
    <row r="156" spans="2:19" x14ac:dyDescent="0.25">
      <c r="B156" s="42" t="s">
        <v>21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O156" s="28"/>
      <c r="P156" s="28"/>
      <c r="Q156" s="28"/>
      <c r="R156" s="28"/>
      <c r="S156" s="28"/>
    </row>
    <row r="157" spans="2:19" x14ac:dyDescent="0.25">
      <c r="B157" s="42" t="s">
        <v>137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9"/>
      <c r="O157" s="29"/>
      <c r="P157" s="29"/>
      <c r="Q157" s="29"/>
      <c r="R157" s="29"/>
      <c r="S157" s="29"/>
    </row>
    <row r="158" spans="2:19" x14ac:dyDescent="0.25">
      <c r="B158" s="42" t="s">
        <v>138</v>
      </c>
      <c r="S158" s="25"/>
    </row>
    <row r="159" spans="1:19" ht="15" customHeight="1" x14ac:dyDescent="0.25">
      <c r="B159" s="43"/>
      <c r="C159" s="57" t="s">
        <v>186</v>
      </c>
      <c r="D159" s="57"/>
      <c r="E159" s="57"/>
      <c r="F159" s="57"/>
      <c r="G159" s="57"/>
      <c r="H159" s="57"/>
      <c r="I159" s="57"/>
      <c r="J159" s="57"/>
      <c r="K159" s="57"/>
      <c r="L159" s="57"/>
      <c r="M159" s="60" t="s">
        <v>65</v>
      </c>
      <c r="N159" s="60"/>
      <c r="O159" s="60"/>
      <c r="P159" s="60"/>
      <c r="Q159" s="61"/>
      <c r="S159" s="30"/>
    </row>
    <row r="160" spans="1:19" ht="15" customHeight="1" x14ac:dyDescent="0.25">
      <c r="B160" s="45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62"/>
      <c r="N160" s="62"/>
      <c r="O160" s="62"/>
      <c r="P160" s="62"/>
      <c r="Q160" s="63"/>
      <c r="S160" s="30"/>
    </row>
    <row r="161" spans="1:19" ht="15" customHeight="1" x14ac:dyDescent="0.25">
      <c r="B161" s="44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62"/>
      <c r="N161" s="62"/>
      <c r="O161" s="62"/>
      <c r="P161" s="62"/>
      <c r="Q161" s="63"/>
      <c r="S161" s="30"/>
    </row>
    <row r="162" spans="1:19" ht="15" customHeight="1" x14ac:dyDescent="0.25">
      <c r="B162" s="44">
        <v/>
      </c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62"/>
      <c r="N162" s="62"/>
      <c r="O162" s="62"/>
      <c r="P162" s="62"/>
      <c r="Q162" s="63"/>
      <c r="R162" s="30"/>
      <c r="S162" s="30"/>
    </row>
    <row r="163" spans="1:19" ht="15" customHeight="1" x14ac:dyDescent="0.25">
      <c r="B163" s="39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62"/>
      <c r="N163" s="62"/>
      <c r="O163" s="62"/>
      <c r="P163" s="62"/>
      <c r="Q163" s="63"/>
      <c r="R163" s="30"/>
      <c r="S163" s="30"/>
    </row>
    <row r="164" spans="1:19" ht="28.5" customHeight="1" x14ac:dyDescent="0.25">
      <c r="B164" s="4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64"/>
      <c r="N164" s="64"/>
      <c r="O164" s="64"/>
      <c r="P164" s="64"/>
      <c r="Q164" s="65"/>
      <c r="R164" s="30"/>
      <c r="S164" s="30"/>
    </row>
    <row r="165" spans="1:19" ht="6.75" customHeight="1" x14ac:dyDescent="0.25"/>
    <row r="166" spans="1:19" ht="10.5" customHeight="1" x14ac:dyDescent="0.25">
      <c r="O166" s="66" t="s">
        <v>185</v>
      </c>
      <c r="P166" s="66"/>
      <c r="Q166" s="66"/>
      <c r="R166" s="31"/>
      <c r="S166" s="31"/>
    </row>
    <row r="167" spans="1:19" ht="12.75" customHeight="1" x14ac:dyDescent="0.25">
      <c r="B167" s="56" t="s">
        <v>204</v>
      </c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</row>
    <row r="168" spans="1:19" ht="14.25" customHeight="1" x14ac:dyDescent="0.25">
      <c r="B168" s="56" t="s">
        <v>205</v>
      </c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</row>
    <row r="169" spans="1:19" x14ac:dyDescent="0.25">
      <c r="B169" s="56" t="s">
        <v>130</v>
      </c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</row>
    <row r="170" spans="1:19" x14ac:dyDescent="0.25">
      <c r="B170" s="56" t="s">
        <v>132</v>
      </c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</row>
    <row r="171" spans="1:19" x14ac:dyDescent="0.25">
      <c r="B171" s="55" t="s">
        <v>133</v>
      </c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32"/>
      <c r="S171" s="32"/>
    </row>
    <row r="172" spans="1:19" x14ac:dyDescent="0.25">
      <c r="B172" s="47" t="s">
        <v>67</v>
      </c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21"/>
      <c r="S172" s="12"/>
    </row>
    <row r="173" spans="1:19" x14ac:dyDescent="0.25">
      <c r="B173" s="47" t="s">
        <v>68</v>
      </c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21"/>
      <c r="S173" s="12"/>
    </row>
    <row r="174" spans="1:19" x14ac:dyDescent="0.25">
      <c r="B174" s="47" t="s">
        <v>136</v>
      </c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21"/>
      <c r="S174" s="12"/>
    </row>
    <row r="175" spans="2:22" x14ac:dyDescent="0.25">
      <c r="B175" s="53" t="s">
        <v>0</v>
      </c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4"/>
      <c r="S175" s="12"/>
    </row>
    <row r="176" spans="2:22" x14ac:dyDescent="0.25">
      <c r="B176" s="6" t="s">
        <v>8</v>
      </c>
      <c r="C176" s="69" t="s">
        <v>9</v>
      </c>
      <c r="D176" s="69"/>
      <c r="E176" s="7"/>
      <c r="F176" s="69" t="s">
        <v>10</v>
      </c>
      <c r="G176" s="69"/>
      <c r="H176" s="69"/>
      <c r="I176" s="69"/>
      <c r="J176" s="8" t="s">
        <v>7</v>
      </c>
      <c r="K176" s="8" t="s">
        <v>6</v>
      </c>
      <c r="L176" s="8" t="s">
        <v>5</v>
      </c>
      <c r="M176" s="9" t="s">
        <v>4</v>
      </c>
      <c r="N176" s="8" t="s">
        <v>3</v>
      </c>
      <c r="O176" s="8" t="s">
        <v>2</v>
      </c>
      <c r="P176" s="8" t="s">
        <v>1</v>
      </c>
      <c r="Q176" s="20" t="s">
        <v>18</v>
      </c>
      <c r="R176" s="22"/>
      <c r="S176" s="22"/>
    </row>
    <row r="177" spans="2:22" ht="18.75" customHeight="1" x14ac:dyDescent="0.25">
      <c r="B177" s="10" t="s">
        <v>81</v>
      </c>
      <c r="C177" s="70" t="s">
        <v>171</v>
      </c>
      <c r="D177" s="70"/>
      <c r="E177" s="70"/>
      <c r="F177" s="71" t="s">
        <v>170</v>
      </c>
      <c r="G177" s="71"/>
      <c r="H177" s="71"/>
      <c r="I177" s="71"/>
      <c r="J177" s="11" t="s">
        <v>86</v>
      </c>
      <c r="K177" s="11" t="s">
        <v>193</v>
      </c>
      <c r="L177" s="37" t="s">
        <v>114</v>
      </c>
      <c r="M177" s="38" t="s">
        <v>153</v>
      </c>
      <c r="N177" s="11" t="s">
        <v>88</v>
      </c>
      <c r="O177" s="11" t="s">
        <v>88</v>
      </c>
      <c r="P177" s="38" t="s">
        <v>154</v>
      </c>
      <c r="Q177" s="37">
        <f>R177+S177</f>
      </c>
      <c r="R177" s="23">
        <v>212.4</v>
      </c>
      <c r="S177" s="23">
        <v>0</v>
      </c>
    </row>
    <row r="178" spans="2:22" ht="42.75" customHeight="1" x14ac:dyDescent="0.25">
      <c r="R178" s="26"/>
      <c r="S178" s="26"/>
    </row>
    <row r="179" spans="2:22" ht="18.75" customHeight="1" x14ac:dyDescent="0.25">
      <c r="B179" s="10" t="s">
        <v>90</v>
      </c>
      <c r="C179" s="70" t="s">
        <v>195</v>
      </c>
      <c r="D179" s="70"/>
      <c r="E179" s="70"/>
      <c r="F179" s="71" t="s">
        <v>194</v>
      </c>
      <c r="G179" s="71"/>
      <c r="H179" s="71"/>
      <c r="I179" s="71"/>
      <c r="J179" s="11" t="s">
        <v>86</v>
      </c>
      <c r="K179" s="11" t="s">
        <v>193</v>
      </c>
      <c r="L179" s="37" t="s">
        <v>114</v>
      </c>
      <c r="M179" s="38" t="s">
        <v>157</v>
      </c>
      <c r="N179" s="11" t="s">
        <v>88</v>
      </c>
      <c r="O179" s="11" t="s">
        <v>88</v>
      </c>
      <c r="P179" s="38" t="s">
        <v>157</v>
      </c>
      <c r="Q179" s="37">
        <f>R179+S179</f>
      </c>
      <c r="R179" s="23">
        <v>187.52</v>
      </c>
      <c r="S179" s="23">
        <v>0</v>
      </c>
    </row>
    <row r="180" spans="2:22" ht="42.75" customHeight="1" x14ac:dyDescent="0.25">
      <c r="R180" s="26"/>
      <c r="S180" s="26"/>
    </row>
    <row r="181" spans="2:22" ht="18.75" customHeight="1" x14ac:dyDescent="0.25">
      <c r="B181" s="10" t="s">
        <v>93</v>
      </c>
      <c r="C181" s="70" t="s">
        <v>122</v>
      </c>
      <c r="D181" s="70"/>
      <c r="E181" s="70"/>
      <c r="F181" s="71" t="s">
        <v>120</v>
      </c>
      <c r="G181" s="71"/>
      <c r="H181" s="71"/>
      <c r="I181" s="71"/>
      <c r="J181" s="11" t="s">
        <v>86</v>
      </c>
      <c r="K181" s="11" t="s">
        <v>193</v>
      </c>
      <c r="L181" s="37" t="s">
        <v>114</v>
      </c>
      <c r="M181" s="38" t="s">
        <v>121</v>
      </c>
      <c r="N181" s="11" t="s">
        <v>88</v>
      </c>
      <c r="O181" s="11" t="s">
        <v>88</v>
      </c>
      <c r="P181" s="38" t="s">
        <v>121</v>
      </c>
      <c r="Q181" s="37">
        <f>R181+S181</f>
      </c>
      <c r="R181" s="23">
        <v>129.96</v>
      </c>
      <c r="S181" s="23">
        <v>0</v>
      </c>
    </row>
    <row r="182" spans="2:22" ht="42.75" customHeight="1" x14ac:dyDescent="0.25">
      <c r="R182" s="26"/>
      <c r="S182" s="26"/>
    </row>
    <row r="183" spans="2:22" ht="18.75" customHeight="1" x14ac:dyDescent="0.25">
      <c r="B183" s="10" t="s">
        <v>96</v>
      </c>
      <c r="C183" s="70" t="s">
        <v>125</v>
      </c>
      <c r="D183" s="70"/>
      <c r="E183" s="70"/>
      <c r="F183" s="71" t="s">
        <v>124</v>
      </c>
      <c r="G183" s="71"/>
      <c r="H183" s="71"/>
      <c r="I183" s="71"/>
      <c r="J183" s="11" t="s">
        <v>86</v>
      </c>
      <c r="K183" s="11" t="s">
        <v>193</v>
      </c>
      <c r="L183" s="37" t="s">
        <v>114</v>
      </c>
      <c r="M183" s="38" t="s">
        <v>121</v>
      </c>
      <c r="N183" s="11" t="s">
        <v>88</v>
      </c>
      <c r="O183" s="11" t="s">
        <v>88</v>
      </c>
      <c r="P183" s="38" t="s">
        <v>121</v>
      </c>
      <c r="Q183" s="37">
        <f>R183+S183</f>
      </c>
      <c r="R183" s="23">
        <v>129.96</v>
      </c>
      <c r="S183" s="23">
        <v>0</v>
      </c>
    </row>
    <row r="184" spans="2:22" ht="42.75" customHeight="1" x14ac:dyDescent="0.25">
      <c r="R184" s="26"/>
      <c r="S184" s="26"/>
    </row>
    <row r="185" spans="2:22" ht="18.75" customHeight="1" x14ac:dyDescent="0.25">
      <c r="B185" s="10" t="s">
        <v>99</v>
      </c>
      <c r="C185" s="70" t="s">
        <v>197</v>
      </c>
      <c r="D185" s="70"/>
      <c r="E185" s="70"/>
      <c r="F185" s="71" t="s">
        <v>196</v>
      </c>
      <c r="G185" s="71"/>
      <c r="H185" s="71"/>
      <c r="I185" s="71"/>
      <c r="J185" s="11" t="s">
        <v>86</v>
      </c>
      <c r="K185" s="11" t="s">
        <v>193</v>
      </c>
      <c r="L185" s="37" t="s">
        <v>114</v>
      </c>
      <c r="M185" s="38" t="s">
        <v>173</v>
      </c>
      <c r="N185" s="11" t="s">
        <v>88</v>
      </c>
      <c r="O185" s="11" t="s">
        <v>88</v>
      </c>
      <c r="P185" s="38" t="s">
        <v>173</v>
      </c>
      <c r="Q185" s="37">
        <f>R185+S185</f>
      </c>
      <c r="R185" s="23">
        <v>99.28</v>
      </c>
      <c r="S185" s="23">
        <v>0</v>
      </c>
    </row>
    <row r="186" spans="2:22" ht="42.75" customHeight="1" x14ac:dyDescent="0.25">
      <c r="R186" s="26"/>
      <c r="S186" s="26"/>
    </row>
    <row r="187" spans="2:22" ht="18.75" customHeight="1" x14ac:dyDescent="0.25">
      <c r="B187" s="10" t="s">
        <v>106</v>
      </c>
      <c r="C187" s="70" t="s">
        <v>174</v>
      </c>
      <c r="D187" s="70"/>
      <c r="E187" s="70"/>
      <c r="F187" s="71" t="s">
        <v>172</v>
      </c>
      <c r="G187" s="71"/>
      <c r="H187" s="71"/>
      <c r="I187" s="71"/>
      <c r="J187" s="11" t="s">
        <v>86</v>
      </c>
      <c r="K187" s="11" t="s">
        <v>193</v>
      </c>
      <c r="L187" s="37" t="s">
        <v>114</v>
      </c>
      <c r="M187" s="38" t="s">
        <v>173</v>
      </c>
      <c r="N187" s="11" t="s">
        <v>88</v>
      </c>
      <c r="O187" s="11" t="s">
        <v>88</v>
      </c>
      <c r="P187" s="38" t="s">
        <v>173</v>
      </c>
      <c r="Q187" s="37">
        <f>R187+S187</f>
      </c>
      <c r="R187" s="23">
        <v>99.28</v>
      </c>
      <c r="S187" s="23">
        <v>0</v>
      </c>
    </row>
    <row r="188" spans="2:22" ht="42.75" customHeight="1" x14ac:dyDescent="0.25">
      <c r="R188" s="26"/>
      <c r="S188" s="26"/>
    </row>
    <row r="189" spans="2:22" ht="18.75" customHeight="1" x14ac:dyDescent="0.25">
      <c r="B189" s="10" t="s">
        <v>109</v>
      </c>
      <c r="C189" s="70" t="s">
        <v>199</v>
      </c>
      <c r="D189" s="70"/>
      <c r="E189" s="70"/>
      <c r="F189" s="71" t="s">
        <v>198</v>
      </c>
      <c r="G189" s="71"/>
      <c r="H189" s="71"/>
      <c r="I189" s="71"/>
      <c r="J189" s="11" t="s">
        <v>86</v>
      </c>
      <c r="K189" s="11" t="s">
        <v>193</v>
      </c>
      <c r="L189" s="37" t="s">
        <v>114</v>
      </c>
      <c r="M189" s="38" t="s">
        <v>173</v>
      </c>
      <c r="N189" s="11" t="s">
        <v>88</v>
      </c>
      <c r="O189" s="11" t="s">
        <v>88</v>
      </c>
      <c r="P189" s="38" t="s">
        <v>173</v>
      </c>
      <c r="Q189" s="37">
        <f>R189+S189</f>
      </c>
      <c r="R189" s="23">
        <v>99.28</v>
      </c>
      <c r="S189" s="23">
        <v>0</v>
      </c>
    </row>
    <row r="190" spans="2:22" ht="42.75" customHeight="1" x14ac:dyDescent="0.25">
      <c r="R190" s="26"/>
      <c r="S190" s="26"/>
    </row>
    <row r="191" spans="2:22" ht="18.75" customHeight="1" x14ac:dyDescent="0.25">
      <c r="B191" s="10" t="s">
        <v>112</v>
      </c>
      <c r="C191" s="70" t="s">
        <v>201</v>
      </c>
      <c r="D191" s="70"/>
      <c r="E191" s="70"/>
      <c r="F191" s="71" t="s">
        <v>200</v>
      </c>
      <c r="G191" s="71"/>
      <c r="H191" s="71"/>
      <c r="I191" s="71"/>
      <c r="J191" s="11" t="s">
        <v>86</v>
      </c>
      <c r="K191" s="11" t="s">
        <v>193</v>
      </c>
      <c r="L191" s="37" t="s">
        <v>114</v>
      </c>
      <c r="M191" s="38" t="s">
        <v>153</v>
      </c>
      <c r="N191" s="11" t="s">
        <v>88</v>
      </c>
      <c r="O191" s="11" t="s">
        <v>88</v>
      </c>
      <c r="P191" s="38" t="s">
        <v>154</v>
      </c>
      <c r="Q191" s="37">
        <f>R191+S191</f>
      </c>
      <c r="R191" s="23">
        <v>212.4</v>
      </c>
      <c r="S191" s="23">
        <v>0</v>
      </c>
    </row>
    <row r="192" spans="2:22" ht="42.75" customHeight="1" x14ac:dyDescent="0.25">
      <c r="R192" s="26"/>
      <c r="S192" s="26"/>
    </row>
    <row r="193" spans="2:22" x14ac:dyDescent="0.25">
      <c r="B193" s="53" t="s">
        <v>11</v>
      </c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4"/>
      <c r="S193" s="12"/>
    </row>
    <row r="194" spans="2:22" ht="12.75" customHeight="1" x14ac:dyDescent="0.25">
      <c r="B194" s="13"/>
      <c r="C194" s="13"/>
      <c r="D194" s="51" t="s">
        <v>187</v>
      </c>
      <c r="E194" s="51"/>
      <c r="F194" s="51"/>
      <c r="G194" s="51"/>
      <c r="H194" s="51"/>
      <c r="I194" s="51"/>
      <c r="J194" s="51"/>
      <c r="K194" s="13"/>
      <c r="L194" s="13"/>
      <c r="M194" s="13"/>
      <c r="N194" s="5"/>
      <c r="O194" s="33" t="s">
        <v>14</v>
      </c>
      <c r="P194" s="33" t="s">
        <v>13</v>
      </c>
      <c r="Q194" s="33" t="s">
        <v>12</v>
      </c>
      <c r="R194" s="24"/>
      <c r="S194" s="12"/>
    </row>
    <row r="195" spans="2:22" ht="12" customHeight="1" x14ac:dyDescent="0.25">
      <c r="B195" s="13"/>
      <c r="C195" s="13"/>
      <c r="D195" s="51" t="s">
        <v>70</v>
      </c>
      <c r="E195" s="51"/>
      <c r="F195" s="51"/>
      <c r="G195" s="51"/>
      <c r="H195" s="51"/>
      <c r="I195" s="51"/>
      <c r="J195" s="51"/>
      <c r="K195" s="13"/>
      <c r="L195" s="13"/>
      <c r="M195" s="13"/>
      <c r="N195" s="5"/>
      <c r="O195" s="38" t="str">
        <f>IF(Sheet1!A2:A6&lt;&gt;"",Sheet1!A2:A6,"")</f>
      </c>
      <c r="P195" s="38" t="str">
        <f>IF(Sheet1!B2:B6&lt;&gt;"",Sheet1!B2:B6,"")</f>
      </c>
      <c r="Q195" s="38" t="str">
        <f>IF(Sheet1!C2:C6&lt;&gt;"",Sheet1!C2:C6,"")</f>
      </c>
      <c r="R195" s="24"/>
      <c r="S195" s="12"/>
    </row>
    <row r="196" spans="2:22" ht="11.25" customHeight="1" x14ac:dyDescent="0.25">
      <c r="B196" s="5"/>
      <c r="C196" s="5"/>
      <c r="D196" s="51" t="s">
        <v>71</v>
      </c>
      <c r="E196" s="51"/>
      <c r="F196" s="51"/>
      <c r="G196" s="51"/>
      <c r="H196" s="51"/>
      <c r="I196" s="51"/>
      <c r="J196" s="51"/>
      <c r="K196" s="5"/>
      <c r="L196" s="5"/>
      <c r="M196" s="5"/>
      <c r="N196" s="5"/>
      <c r="O196" s="38" t="str">
        <f>IF(Sheet1!A7:A11&lt;&gt;"",Sheet1!A7:A11,"")</f>
      </c>
      <c r="P196" s="38" t="str">
        <f>IF(Sheet1!B7:B11&lt;&gt;"",Sheet1!B7:B11,"")</f>
      </c>
      <c r="Q196" s="38" t="str">
        <f>IF(Sheet1!C7:C11&lt;&gt;"",Sheet1!C7:C11,"")</f>
      </c>
      <c r="R196" s="12"/>
      <c r="S196" s="12"/>
    </row>
    <row r="197" spans="2:22" ht="11.25" customHeight="1" x14ac:dyDescent="0.25">
      <c r="B197" s="5"/>
      <c r="C197" s="5"/>
      <c r="D197" s="51" t="s">
        <v>72</v>
      </c>
      <c r="E197" s="51"/>
      <c r="F197" s="51"/>
      <c r="G197" s="51"/>
      <c r="H197" s="51"/>
      <c r="I197" s="51"/>
      <c r="J197" s="51"/>
      <c r="K197" s="5"/>
      <c r="L197" s="5"/>
      <c r="M197" s="5"/>
      <c r="N197" s="5"/>
      <c r="O197" s="38" t="str">
        <f>IF(Sheet1!A12:A16&lt;&gt;"",Sheet1!A12:A16,"")</f>
      </c>
      <c r="P197" s="38" t="str">
        <f>IF(Sheet1!B12:B16&lt;&gt;"",Sheet1!B12:B16,"")</f>
      </c>
      <c r="Q197" s="38" t="str">
        <f>IF(Sheet1!C12:C16&lt;&gt;"",Sheet1!C12:C16,"")</f>
      </c>
      <c r="R197" s="12"/>
      <c r="S197" s="12"/>
    </row>
    <row r="198" spans="2:22" ht="11.25" customHeight="1" x14ac:dyDescent="0.25">
      <c r="B198" s="5"/>
      <c r="C198" s="5"/>
      <c r="D198" s="51" t="s">
        <v>73</v>
      </c>
      <c r="E198" s="51"/>
      <c r="F198" s="51"/>
      <c r="G198" s="51"/>
      <c r="H198" s="51"/>
      <c r="I198" s="51"/>
      <c r="J198" s="51"/>
      <c r="K198" s="5"/>
      <c r="L198" s="5"/>
      <c r="M198" s="5"/>
      <c r="N198" s="5"/>
      <c r="O198" s="38" t="str">
        <f>IF(Sheet1!A17&lt;&gt;"",Sheet1!A17,"")</f>
      </c>
      <c r="P198" s="38" t="str">
        <f>IF(Sheet1!B17&lt;&gt;"",Sheet1!B17,"")</f>
      </c>
      <c r="Q198" s="38" t="str">
        <f>IF(Sheet1!C17&lt;&gt;"",Sheet1!C17,"")</f>
      </c>
      <c r="R198" s="12"/>
      <c r="S198" s="12"/>
    </row>
    <row r="199" spans="2:22" ht="11.25" customHeight="1" x14ac:dyDescent="0.25">
      <c r="B199" s="5"/>
      <c r="C199" s="5"/>
      <c r="D199" s="52" t="s">
        <v>188</v>
      </c>
      <c r="E199" s="52"/>
      <c r="F199" s="52"/>
      <c r="G199" s="52"/>
      <c r="H199" s="52"/>
      <c r="I199" s="52"/>
      <c r="J199" s="52"/>
      <c r="K199" s="5"/>
      <c r="L199" s="5"/>
      <c r="M199" s="5"/>
      <c r="N199" s="5"/>
      <c r="O199" s="38" t="str">
        <f>IF(Sheet1!A18&lt;&gt;"",Sheet1!A18,"")</f>
      </c>
      <c r="P199" s="38" t="str">
        <f>IF(Sheet1!B18&lt;&gt;"",Sheet1!B18,"")</f>
      </c>
      <c r="Q199" s="38" t="str">
        <f>IF(Sheet1!C18&lt;&gt;"",Sheet1!C18,"")</f>
      </c>
      <c r="R199" s="12"/>
      <c r="S199" s="12"/>
    </row>
    <row r="200" spans="2:22" ht="11.25" customHeight="1" x14ac:dyDescent="0.25">
      <c r="B200" s="5"/>
      <c r="C200" s="5"/>
      <c r="D200" s="5"/>
      <c r="E200" s="5"/>
      <c r="F200" s="5"/>
      <c r="G200" s="5"/>
      <c r="H200" s="15"/>
      <c r="I200" s="16"/>
      <c r="J200" s="16"/>
      <c r="K200" s="5"/>
      <c r="L200" s="5"/>
      <c r="M200" s="5"/>
      <c r="N200" s="5"/>
      <c r="O200" s="35" t="str">
        <f>IF(Sheet1!A19&lt;&gt;"",Sheet1!A19,"")</f>
      </c>
      <c r="P200" s="35" t="str">
        <f>IF(Sheet1!B19&lt;&gt;"",Sheet1!B19,"")</f>
      </c>
      <c r="Q200" s="35" t="str">
        <f>IF(Sheet1!C19&lt;&gt;"",Sheet1!C19,"")</f>
      </c>
      <c r="R200" s="12"/>
      <c r="S200" s="12"/>
    </row>
    <row r="201" spans="2:22" ht="5.25" customHeight="1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8"/>
      <c r="Q201" s="12"/>
      <c r="R201" s="12"/>
      <c r="S201" s="12"/>
    </row>
    <row r="202" spans="2:22" x14ac:dyDescent="0.25">
      <c r="B202" s="67" t="s">
        <v>15</v>
      </c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22"/>
      <c r="S202" s="22"/>
    </row>
    <row r="203" spans="2:22" x14ac:dyDescent="0.25">
      <c r="B203" s="12"/>
      <c r="C203" s="12"/>
      <c r="D203" s="50" t="s">
        <v>75</v>
      </c>
      <c r="E203" s="50"/>
      <c r="F203" s="50"/>
      <c r="G203" s="50"/>
      <c r="H203" s="50"/>
      <c r="I203" s="50"/>
      <c r="J203" s="12"/>
      <c r="K203" s="50" t="s">
        <v>189</v>
      </c>
      <c r="L203" s="50"/>
      <c r="M203" s="50"/>
      <c r="N203" s="50"/>
      <c r="O203" s="12"/>
      <c r="P203" s="18"/>
      <c r="Q203" s="12"/>
      <c r="R203" s="12"/>
      <c r="S203" s="12"/>
    </row>
    <row r="204" spans="2:22" ht="8.25" customHeight="1" x14ac:dyDescent="0.25">
      <c r="B204" s="7"/>
      <c r="C204" s="7"/>
      <c r="D204" s="19"/>
      <c r="E204" s="19"/>
      <c r="F204" s="19"/>
      <c r="G204" s="19"/>
      <c r="H204" s="19"/>
      <c r="I204" s="19"/>
      <c r="J204" s="7"/>
      <c r="K204" s="19"/>
      <c r="L204" s="19"/>
      <c r="M204" s="19"/>
      <c r="N204" s="19"/>
      <c r="O204" s="7"/>
      <c r="P204" s="17"/>
      <c r="Q204" s="7"/>
      <c r="R204" s="12"/>
      <c r="S204" s="12"/>
    </row>
    <row r="205" spans="2:19" x14ac:dyDescent="0.25">
      <c r="B205" s="46" t="s">
        <v>16</v>
      </c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</row>
    <row r="206" spans="2:19" ht="27" customHeight="1" x14ac:dyDescent="0.25">
      <c r="B206" s="5"/>
      <c r="C206" s="5"/>
      <c r="D206" s="49" t="s">
        <v>77</v>
      </c>
      <c r="E206" s="49"/>
      <c r="F206" s="49"/>
      <c r="G206" s="49"/>
      <c r="H206" s="49"/>
      <c r="I206" s="49"/>
      <c r="J206" s="5"/>
      <c r="K206" s="49" t="s">
        <v>135</v>
      </c>
      <c r="L206" s="49"/>
      <c r="M206" s="49"/>
      <c r="N206" s="49"/>
      <c r="O206" s="49"/>
      <c r="P206" s="14"/>
      <c r="Q206" s="5"/>
      <c r="R206" s="12"/>
      <c r="S206" s="12"/>
    </row>
    <row r="207" spans="2:19" x14ac:dyDescent="0.25">
      <c r="B207" s="12"/>
      <c r="C207" s="12"/>
      <c r="D207" s="50" t="s">
        <v>190</v>
      </c>
      <c r="E207" s="50"/>
      <c r="F207" s="50"/>
      <c r="G207" s="50"/>
      <c r="H207" s="50"/>
      <c r="I207" s="50"/>
      <c r="J207" s="12"/>
      <c r="K207" s="50" t="s">
        <v>191</v>
      </c>
      <c r="L207" s="50"/>
      <c r="M207" s="50" t="s">
        <v>192</v>
      </c>
      <c r="N207" s="50"/>
      <c r="O207" s="12"/>
      <c r="P207" s="18"/>
      <c r="Q207" s="12"/>
      <c r="R207" s="12"/>
      <c r="S207" s="12"/>
    </row>
    <row r="208" spans="2:19" ht="8.25" customHeight="1" x14ac:dyDescent="0.25">
      <c r="B208" s="7"/>
      <c r="C208" s="7"/>
      <c r="D208" s="19"/>
      <c r="E208" s="19"/>
      <c r="F208" s="19"/>
      <c r="G208" s="19"/>
      <c r="H208" s="19"/>
      <c r="I208" s="19"/>
      <c r="J208" s="7"/>
      <c r="K208" s="19"/>
      <c r="L208" s="19"/>
      <c r="M208" s="19"/>
      <c r="N208" s="19"/>
      <c r="O208" s="7"/>
      <c r="P208" s="17"/>
      <c r="Q208" s="7"/>
      <c r="R208" s="12"/>
      <c r="S208" s="12"/>
    </row>
    <row r="209" spans="2:19" x14ac:dyDescent="0.25">
      <c r="B209" s="46" t="s">
        <v>17</v>
      </c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</row>
    <row r="210" spans="2:19" x14ac:dyDescent="0.25">
      <c r="B210" s="47">
        <v/>
      </c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</row>
    <row r="211" spans="2:19" x14ac:dyDescent="0.25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O211" s="5"/>
      <c r="P211" s="48"/>
      <c r="Q211" s="48"/>
      <c r="R211" s="27"/>
      <c r="S211" s="27"/>
    </row>
    <row r="212" spans="2:19" x14ac:dyDescent="0.25">
      <c r="B212" s="42" t="s">
        <v>21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O212" s="28"/>
      <c r="P212" s="28"/>
      <c r="Q212" s="28"/>
      <c r="R212" s="28"/>
      <c r="S212" s="28"/>
    </row>
    <row r="213" spans="2:19" x14ac:dyDescent="0.25">
      <c r="B213" s="42" t="s">
        <v>137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29"/>
      <c r="O213" s="29"/>
      <c r="P213" s="29"/>
      <c r="Q213" s="29"/>
      <c r="R213" s="29"/>
      <c r="S213" s="29"/>
    </row>
    <row r="214" spans="2:19" x14ac:dyDescent="0.25">
      <c r="B214" s="42" t="s">
        <v>138</v>
      </c>
      <c r="S214" s="25"/>
    </row>
  </sheetData>
  <mergeCells count="213">
    <mergeCell ref="B15:Q15"/>
    <mergeCell ref="B16:Q16"/>
    <mergeCell ref="B20:Q20"/>
    <mergeCell ref="B17:Q17"/>
    <mergeCell ref="C18:D18"/>
    <mergeCell ref="C19:E19"/>
    <mergeCell ref="F19:I19"/>
    <mergeCell ref="F18:I18"/>
    <mergeCell ref="B14:Q14"/>
    <mergeCell ref="B13:Q13"/>
    <mergeCell ref="B12:S12"/>
    <mergeCell ref="C1:L6"/>
    <mergeCell ref="M1:Q6"/>
    <mergeCell ref="O8:Q8"/>
    <mergeCell ref="B11:S11"/>
    <mergeCell ref="B10:S10"/>
    <mergeCell ref="B9:S9"/>
    <mergeCell ref="B39:Q39"/>
    <mergeCell ref="D40:J40"/>
    <mergeCell ref="D41:J41"/>
    <mergeCell ref="D42:J42"/>
    <mergeCell ref="D43:J43"/>
    <mergeCell ref="D49:I49"/>
    <mergeCell ref="K49:N49"/>
    <mergeCell ref="D44:J44"/>
    <mergeCell ref="D45:J45"/>
    <mergeCell ref="B51:S51"/>
    <mergeCell ref="B48:Q48"/>
    <mergeCell ref="B55:S55"/>
    <mergeCell ref="B56:S56"/>
    <mergeCell ref="P57:Q57"/>
    <mergeCell ref="D52:I52"/>
    <mergeCell ref="D53:I53"/>
    <mergeCell ref="K52:O52"/>
    <mergeCell ref="K53:L53"/>
    <mergeCell ref="M53:N53"/>
    <mergeCell ref="M61:Q66"/>
    <mergeCell ref="C61:L66"/>
    <mergeCell ref="O68:Q68"/>
    <mergeCell ref="B69:S69"/>
    <mergeCell ref="B70:S70"/>
    <mergeCell ref="B71:S71"/>
    <mergeCell ref="B72:S72"/>
    <mergeCell ref="B73:Q73"/>
    <mergeCell ref="B74:Q74"/>
    <mergeCell ref="B75:Q75"/>
    <mergeCell ref="B76:Q76"/>
    <mergeCell ref="B77:Q77"/>
    <mergeCell ref="C78:D78"/>
    <mergeCell ref="F78:I78"/>
    <mergeCell ref="F79:I79"/>
    <mergeCell ref="C79:E79"/>
    <mergeCell ref="B80:Q80"/>
    <mergeCell ref="B87:Q87"/>
    <mergeCell ref="D88:J88"/>
    <mergeCell ref="D89:J89"/>
    <mergeCell ref="D90:J90"/>
    <mergeCell ref="D91:J91"/>
    <mergeCell ref="D92:J92"/>
    <mergeCell ref="D93:J93"/>
    <mergeCell ref="B96:Q96"/>
    <mergeCell ref="D97:I97"/>
    <mergeCell ref="K97:N97"/>
    <mergeCell ref="B99:S99"/>
    <mergeCell ref="D100:I100"/>
    <mergeCell ref="K100:O100"/>
    <mergeCell ref="D101:I101"/>
    <mergeCell ref="K101:L101"/>
    <mergeCell ref="M101:N101"/>
    <mergeCell ref="B103:S103"/>
    <mergeCell ref="B104:S104"/>
    <mergeCell ref="P105:Q105"/>
    <mergeCell ref="M109:Q114"/>
    <mergeCell ref="C109:L114"/>
    <mergeCell ref="O116:Q116"/>
    <mergeCell ref="B117:S117"/>
    <mergeCell ref="B118:S118"/>
    <mergeCell ref="B119:S119"/>
    <mergeCell ref="B120:S120"/>
    <mergeCell ref="B121:Q121"/>
    <mergeCell ref="B122:Q122"/>
    <mergeCell ref="B123:Q123"/>
    <mergeCell ref="B124:Q124"/>
    <mergeCell ref="B125:Q125"/>
    <mergeCell ref="C126:D126"/>
    <mergeCell ref="F126:I126"/>
    <mergeCell ref="F127:I127"/>
    <mergeCell ref="C127:E127"/>
    <mergeCell ref="B128:Q128"/>
    <mergeCell ref="B137:Q137"/>
    <mergeCell ref="D138:J138"/>
    <mergeCell ref="D139:J139"/>
    <mergeCell ref="D140:J140"/>
    <mergeCell ref="D141:J141"/>
    <mergeCell ref="D142:J142"/>
    <mergeCell ref="D143:J143"/>
    <mergeCell ref="B146:Q146"/>
    <mergeCell ref="D147:I147"/>
    <mergeCell ref="K147:N147"/>
    <mergeCell ref="B149:S149"/>
    <mergeCell ref="D150:I150"/>
    <mergeCell ref="K150:O150"/>
    <mergeCell ref="D151:I151"/>
    <mergeCell ref="K151:L151"/>
    <mergeCell ref="M151:N151"/>
    <mergeCell ref="B153:S153"/>
    <mergeCell ref="B154:S154"/>
    <mergeCell ref="P155:Q155"/>
    <mergeCell ref="M159:Q164"/>
    <mergeCell ref="C159:L164"/>
    <mergeCell ref="O166:Q166"/>
    <mergeCell ref="B167:S167"/>
    <mergeCell ref="B168:S168"/>
    <mergeCell ref="B169:S169"/>
    <mergeCell ref="B170:S170"/>
    <mergeCell ref="B171:Q171"/>
    <mergeCell ref="B172:Q172"/>
    <mergeCell ref="B173:Q173"/>
    <mergeCell ref="B174:Q174"/>
    <mergeCell ref="B175:Q175"/>
    <mergeCell ref="C176:D176"/>
    <mergeCell ref="F176:I176"/>
    <mergeCell ref="F177:I177"/>
    <mergeCell ref="C177:E177"/>
    <mergeCell ref="B178:Q178"/>
    <mergeCell ref="B193:Q193"/>
    <mergeCell ref="D194:J194"/>
    <mergeCell ref="D195:J195"/>
    <mergeCell ref="D196:J196"/>
    <mergeCell ref="D197:J197"/>
    <mergeCell ref="D198:J198"/>
    <mergeCell ref="D199:J199"/>
    <mergeCell ref="B202:Q202"/>
    <mergeCell ref="D203:I203"/>
    <mergeCell ref="K203:N203"/>
    <mergeCell ref="B205:S205"/>
    <mergeCell ref="D206:I206"/>
    <mergeCell ref="K206:O206"/>
    <mergeCell ref="D207:I207"/>
    <mergeCell ref="K207:L207"/>
    <mergeCell ref="M207:N207"/>
    <mergeCell ref="B209:S209"/>
    <mergeCell ref="B210:S210"/>
    <mergeCell ref="P211:Q211"/>
    <mergeCell ref="F21:I21"/>
    <mergeCell ref="C21:E21"/>
    <mergeCell ref="B22:Q22"/>
    <mergeCell ref="F23:I23"/>
    <mergeCell ref="C23:E23"/>
    <mergeCell ref="B24:Q24"/>
    <mergeCell ref="F25:I25"/>
    <mergeCell ref="C25:E25"/>
    <mergeCell ref="B26:Q26"/>
    <mergeCell ref="F27:I27"/>
    <mergeCell ref="C27:E27"/>
    <mergeCell ref="B28:Q28"/>
    <mergeCell ref="F29:I29"/>
    <mergeCell ref="C29:E29"/>
    <mergeCell ref="B30:Q30"/>
    <mergeCell ref="F31:I31"/>
    <mergeCell ref="C31:E31"/>
    <mergeCell ref="B32:Q32"/>
    <mergeCell ref="F33:I33"/>
    <mergeCell ref="C33:E33"/>
    <mergeCell ref="B34:Q34"/>
    <mergeCell ref="F35:I35"/>
    <mergeCell ref="C35:E35"/>
    <mergeCell ref="B36:Q36"/>
    <mergeCell ref="F37:I37"/>
    <mergeCell ref="C37:E37"/>
    <mergeCell ref="B38:Q38"/>
    <mergeCell ref="C81:E81"/>
    <mergeCell ref="F81:I81"/>
    <mergeCell ref="B82:Q82"/>
    <mergeCell ref="C83:E83"/>
    <mergeCell ref="F83:I83"/>
    <mergeCell ref="B84:Q84"/>
    <mergeCell ref="C85:E85"/>
    <mergeCell ref="F85:I85"/>
    <mergeCell ref="B86:Q86"/>
    <mergeCell ref="C129:E129"/>
    <mergeCell ref="F129:I129"/>
    <mergeCell ref="B130:Q130"/>
    <mergeCell ref="C131:E131"/>
    <mergeCell ref="F131:I131"/>
    <mergeCell ref="B132:Q132"/>
    <mergeCell ref="C133:E133"/>
    <mergeCell ref="F133:I133"/>
    <mergeCell ref="B134:Q134"/>
    <mergeCell ref="C135:E135"/>
    <mergeCell ref="F135:I135"/>
    <mergeCell ref="B136:Q136"/>
    <mergeCell ref="C179:E179"/>
    <mergeCell ref="F179:I179"/>
    <mergeCell ref="B180:Q180"/>
    <mergeCell ref="C181:E181"/>
    <mergeCell ref="F181:I181"/>
    <mergeCell ref="B182:Q182"/>
    <mergeCell ref="C183:E183"/>
    <mergeCell ref="F183:I183"/>
    <mergeCell ref="B184:Q184"/>
    <mergeCell ref="C185:E185"/>
    <mergeCell ref="F185:I185"/>
    <mergeCell ref="B186:Q186"/>
    <mergeCell ref="C187:E187"/>
    <mergeCell ref="F187:I187"/>
    <mergeCell ref="B188:Q188"/>
    <mergeCell ref="C189:E189"/>
    <mergeCell ref="F189:I189"/>
    <mergeCell ref="B190:Q190"/>
    <mergeCell ref="C191:E191"/>
    <mergeCell ref="F191:I191"/>
    <mergeCell ref="B192:Q192"/>
  </mergeCells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  <drawing xmlns="http://schemas.openxmlformats.org/spreadsheetml/2006/main" xmlns:r="http://schemas.openxmlformats.org/officeDocument/2006/relationships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5667-E510-47F7-B4C3-5AC2A0F559C7}">
  <dimension ref="A1:C21"/>
  <sheetViews>
    <sheetView topLeftCell="F1" workbookViewId="0">
      <selection activeCell="F1" sqref="A1:XFD1048576"/>
    </sheetView>
  </sheetViews>
  <sheetFormatPr defaultRowHeight="15" x14ac:dyDescent="0.25"/>
  <cols>
    <col min="1" max="5" width="0" hidden="1" customWidth="1"/>
  </cols>
  <sheetData>
    <row r="1" spans="1:3" x14ac:dyDescent="0.25">
      <c r="A1" s="34" t="s">
        <v>14</v>
      </c>
      <c r="B1" s="34" t="s">
        <v>13</v>
      </c>
      <c r="C1" s="34" t="s">
        <v>12</v>
      </c>
    </row>
    <row r="2" spans="1:3" x14ac:dyDescent="0.25">
      <c r="A2" s="34" t="s">
        <v>139</v>
      </c>
      <c r="B2" s="34">
        <v>0</v>
      </c>
      <c r="C2" s="34">
        <v>0</v>
      </c>
    </row>
    <row r="3" spans="1:3" x14ac:dyDescent="0.25">
      <c r="A3" s="34" t="s">
        <v>140</v>
      </c>
      <c r="B3" s="34">
        <v>0</v>
      </c>
      <c r="C3" s="34">
        <v>0</v>
      </c>
    </row>
    <row r="4" spans="1:3" x14ac:dyDescent="0.25">
      <c r="A4" s="34" t="s">
        <v>141</v>
      </c>
      <c r="B4" s="34">
        <v>0</v>
      </c>
      <c r="C4" s="34">
        <v>0</v>
      </c>
    </row>
    <row r="5" spans="1:3" x14ac:dyDescent="0.25">
      <c r="A5" s="34" t="s">
        <v>142</v>
      </c>
      <c r="B5" s="34">
        <v>503.18</v>
      </c>
      <c r="C5" s="34">
        <v>84.72</v>
      </c>
    </row>
    <row r="6" spans="1:3" x14ac:dyDescent="0.25">
      <c r="A6" s="34" t="s">
        <v>143</v>
      </c>
      <c r="B6" s="34">
        <v>0</v>
      </c>
      <c r="C6" s="34">
        <v>0</v>
      </c>
    </row>
    <row r="7" spans="1:3" x14ac:dyDescent="0.25">
      <c r="A7" s="34" t="s">
        <v>139</v>
      </c>
      <c r="B7" s="34">
        <v>0</v>
      </c>
      <c r="C7" s="34">
        <v>0</v>
      </c>
    </row>
    <row r="8" spans="1:3" x14ac:dyDescent="0.25">
      <c r="A8" s="34" t="s">
        <v>140</v>
      </c>
      <c r="B8" s="34">
        <v>0</v>
      </c>
      <c r="C8" s="34">
        <v>0</v>
      </c>
    </row>
    <row r="9" spans="1:3" x14ac:dyDescent="0.25">
      <c r="A9" s="34" t="s">
        <v>141</v>
      </c>
      <c r="B9" s="34">
        <v>0</v>
      </c>
      <c r="C9" s="34">
        <v>0</v>
      </c>
    </row>
    <row r="10" spans="1:3" x14ac:dyDescent="0.25">
      <c r="A10" s="34" t="s">
        <v>142</v>
      </c>
      <c r="B10" s="34">
        <v>188.92</v>
      </c>
      <c r="C10" s="34">
        <v>32.28</v>
      </c>
    </row>
    <row r="11" spans="1:3" x14ac:dyDescent="0.25">
      <c r="A11" s="34" t="s">
        <v>143</v>
      </c>
      <c r="B11" s="34">
        <v>0</v>
      </c>
      <c r="C11" s="34">
        <v>0</v>
      </c>
    </row>
    <row r="12" spans="1:3" x14ac:dyDescent="0.25">
      <c r="A12" s="34" t="s">
        <v>139</v>
      </c>
      <c r="B12" s="34">
        <v>0</v>
      </c>
      <c r="C12" s="34">
        <v>0</v>
      </c>
    </row>
    <row r="13" spans="1:3" x14ac:dyDescent="0.25">
      <c r="A13" s="34" t="s">
        <v>140</v>
      </c>
      <c r="B13" s="34">
        <v>0</v>
      </c>
      <c r="C13" s="34">
        <v>0</v>
      </c>
    </row>
    <row r="14" spans="1:3" x14ac:dyDescent="0.25">
      <c r="A14" s="34" t="s">
        <v>141</v>
      </c>
      <c r="B14" s="34">
        <v>0</v>
      </c>
      <c r="C14" s="34">
        <v>0</v>
      </c>
    </row>
    <row r="15" spans="1:3" x14ac:dyDescent="0.25">
      <c r="A15" s="34" t="s">
        <v>142</v>
      </c>
      <c r="B15" s="34">
        <v>240.25</v>
      </c>
      <c r="C15" s="34">
        <v>41.05</v>
      </c>
    </row>
    <row r="16" spans="1:3" x14ac:dyDescent="0.25">
      <c r="A16" s="34" t="s">
        <v>143</v>
      </c>
      <c r="B16" s="34">
        <v>0</v>
      </c>
      <c r="C16" s="34">
        <v>0</v>
      </c>
    </row>
    <row r="17" spans="1:3" x14ac:dyDescent="0.25">
      <c r="A17" s="34" t="s">
        <v>139</v>
      </c>
      <c r="B17" s="34">
        <v>0</v>
      </c>
      <c r="C17" s="34">
        <v>0</v>
      </c>
    </row>
    <row r="18" spans="1:3" x14ac:dyDescent="0.25">
      <c r="A18" s="34" t="s">
        <v>140</v>
      </c>
      <c r="B18" s="34">
        <v>0</v>
      </c>
      <c r="C18" s="34">
        <v>0</v>
      </c>
    </row>
    <row r="19" spans="1:3" x14ac:dyDescent="0.25">
      <c r="A19" s="34" t="s">
        <v>141</v>
      </c>
      <c r="B19" s="34">
        <v>0</v>
      </c>
      <c r="C19" s="34">
        <v>0</v>
      </c>
    </row>
    <row r="20" spans="1:3" x14ac:dyDescent="0.25">
      <c r="A20" s="34" t="s">
        <v>142</v>
      </c>
      <c r="B20" s="34">
        <v>381.94</v>
      </c>
      <c r="C20" s="34">
        <v>65.26</v>
      </c>
    </row>
    <row r="21" spans="1:3" x14ac:dyDescent="0.25">
      <c r="A21" s="34" t="s">
        <v>143</v>
      </c>
      <c r="B21" s="34">
        <v>0</v>
      </c>
      <c r="C21" s="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dc:description/>
  <cp:lastModifiedBy>USUARIO</cp:lastModifiedBy>
  <cp:revision>1</cp:revision>
  <dcterms:created xsi:type="dcterms:W3CDTF">2019-03-05T16:24:52Z</dcterms:created>
  <dcterms:modified xsi:type="dcterms:W3CDTF">2022-04-01T20:55:37Z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